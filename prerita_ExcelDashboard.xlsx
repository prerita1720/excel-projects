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 activeTab="5"/>
  </bookViews>
  <sheets>
    <sheet name="Documentation" sheetId="1" r:id="rId1"/>
    <sheet name="RawData" sheetId="2" r:id="rId2"/>
    <sheet name="PivotTables" sheetId="4" r:id="rId3"/>
    <sheet name="CleanedData" sheetId="3" r:id="rId4"/>
    <sheet name="Analysis" sheetId="5" r:id="rId5"/>
    <sheet name="Dashboard" sheetId="6" r:id="rId6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" i="6" l="1"/>
  <c r="K12" i="6"/>
  <c r="H7" i="6"/>
  <c r="E7" i="6"/>
  <c r="B7" i="6"/>
  <c r="H4" i="6"/>
  <c r="E4" i="6"/>
  <c r="B4" i="6"/>
  <c r="B29" i="5"/>
  <c r="B23" i="5"/>
  <c r="E23" i="5" s="1"/>
  <c r="B22" i="5"/>
  <c r="E22" i="5" s="1"/>
  <c r="B21" i="5"/>
  <c r="E21" i="5" s="1"/>
  <c r="B20" i="5"/>
  <c r="E20" i="5" s="1"/>
  <c r="B11" i="5"/>
  <c r="B10" i="5"/>
  <c r="E9" i="5"/>
  <c r="B9" i="5"/>
  <c r="E8" i="5"/>
  <c r="B8" i="5"/>
  <c r="N156" i="2"/>
  <c r="M156" i="2"/>
  <c r="L156" i="2"/>
  <c r="O156" i="2" s="1"/>
  <c r="K156" i="2"/>
  <c r="N155" i="2"/>
  <c r="M155" i="2"/>
  <c r="K155" i="2"/>
  <c r="L155" i="2" s="1"/>
  <c r="O155" i="2" s="1"/>
  <c r="N154" i="2"/>
  <c r="M154" i="2"/>
  <c r="L154" i="2"/>
  <c r="O154" i="2" s="1"/>
  <c r="K154" i="2"/>
  <c r="N153" i="2"/>
  <c r="M153" i="2"/>
  <c r="L153" i="2"/>
  <c r="O153" i="2" s="1"/>
  <c r="K153" i="2"/>
  <c r="N152" i="2"/>
  <c r="M152" i="2"/>
  <c r="L152" i="2"/>
  <c r="O152" i="2" s="1"/>
  <c r="K152" i="2"/>
  <c r="N151" i="2"/>
  <c r="M151" i="2"/>
  <c r="K151" i="2"/>
  <c r="L151" i="2" s="1"/>
  <c r="O151" i="2" s="1"/>
  <c r="N150" i="2"/>
  <c r="M150" i="2"/>
  <c r="L150" i="2"/>
  <c r="O150" i="2" s="1"/>
  <c r="K150" i="2"/>
  <c r="N149" i="2"/>
  <c r="M149" i="2"/>
  <c r="L149" i="2"/>
  <c r="O149" i="2" s="1"/>
  <c r="K149" i="2"/>
  <c r="N148" i="2"/>
  <c r="M148" i="2"/>
  <c r="L148" i="2"/>
  <c r="O148" i="2" s="1"/>
  <c r="K148" i="2"/>
  <c r="N147" i="2"/>
  <c r="M147" i="2"/>
  <c r="K147" i="2"/>
  <c r="L147" i="2" s="1"/>
  <c r="O147" i="2" s="1"/>
  <c r="N146" i="2"/>
  <c r="M146" i="2"/>
  <c r="L146" i="2"/>
  <c r="O146" i="2" s="1"/>
  <c r="K146" i="2"/>
  <c r="N145" i="2"/>
  <c r="M145" i="2"/>
  <c r="L145" i="2"/>
  <c r="O145" i="2" s="1"/>
  <c r="K145" i="2"/>
  <c r="N144" i="2"/>
  <c r="M144" i="2"/>
  <c r="L144" i="2"/>
  <c r="O144" i="2" s="1"/>
  <c r="K144" i="2"/>
  <c r="N143" i="2"/>
  <c r="M143" i="2"/>
  <c r="K143" i="2"/>
  <c r="L143" i="2" s="1"/>
  <c r="O143" i="2" s="1"/>
  <c r="N142" i="2"/>
  <c r="M142" i="2"/>
  <c r="L142" i="2"/>
  <c r="O142" i="2" s="1"/>
  <c r="K142" i="2"/>
  <c r="N141" i="2"/>
  <c r="M141" i="2"/>
  <c r="L141" i="2"/>
  <c r="O141" i="2" s="1"/>
  <c r="K141" i="2"/>
  <c r="N140" i="2"/>
  <c r="M140" i="2"/>
  <c r="L140" i="2"/>
  <c r="O140" i="2" s="1"/>
  <c r="K140" i="2"/>
  <c r="N139" i="2"/>
  <c r="M139" i="2"/>
  <c r="K139" i="2"/>
  <c r="L139" i="2" s="1"/>
  <c r="O139" i="2" s="1"/>
  <c r="N138" i="2"/>
  <c r="M138" i="2"/>
  <c r="L138" i="2"/>
  <c r="O138" i="2" s="1"/>
  <c r="K138" i="2"/>
  <c r="N137" i="2"/>
  <c r="M137" i="2"/>
  <c r="L137" i="2"/>
  <c r="O137" i="2" s="1"/>
  <c r="K137" i="2"/>
  <c r="N136" i="2"/>
  <c r="M136" i="2"/>
  <c r="L136" i="2"/>
  <c r="O136" i="2" s="1"/>
  <c r="K136" i="2"/>
  <c r="N135" i="2"/>
  <c r="M135" i="2"/>
  <c r="K135" i="2"/>
  <c r="L135" i="2" s="1"/>
  <c r="O135" i="2" s="1"/>
  <c r="N134" i="2"/>
  <c r="M134" i="2"/>
  <c r="L134" i="2"/>
  <c r="O134" i="2" s="1"/>
  <c r="K134" i="2"/>
  <c r="N133" i="2"/>
  <c r="M133" i="2"/>
  <c r="L133" i="2"/>
  <c r="O133" i="2" s="1"/>
  <c r="K133" i="2"/>
  <c r="N132" i="2"/>
  <c r="M132" i="2"/>
  <c r="L132" i="2"/>
  <c r="O132" i="2" s="1"/>
  <c r="K132" i="2"/>
  <c r="N131" i="2"/>
  <c r="M131" i="2"/>
  <c r="K131" i="2"/>
  <c r="L131" i="2" s="1"/>
  <c r="O131" i="2" s="1"/>
  <c r="N130" i="2"/>
  <c r="M130" i="2"/>
  <c r="L130" i="2"/>
  <c r="O130" i="2" s="1"/>
  <c r="K130" i="2"/>
  <c r="N129" i="2"/>
  <c r="M129" i="2"/>
  <c r="L129" i="2"/>
  <c r="O129" i="2" s="1"/>
  <c r="K129" i="2"/>
  <c r="N128" i="2"/>
  <c r="M128" i="2"/>
  <c r="L128" i="2"/>
  <c r="O128" i="2" s="1"/>
  <c r="K128" i="2"/>
  <c r="N127" i="2"/>
  <c r="M127" i="2"/>
  <c r="K127" i="2"/>
  <c r="L127" i="2" s="1"/>
  <c r="O127" i="2" s="1"/>
  <c r="N126" i="2"/>
  <c r="M126" i="2"/>
  <c r="L126" i="2"/>
  <c r="O126" i="2" s="1"/>
  <c r="K126" i="2"/>
  <c r="N125" i="2"/>
  <c r="M125" i="2"/>
  <c r="L125" i="2"/>
  <c r="O125" i="2" s="1"/>
  <c r="K125" i="2"/>
  <c r="N124" i="2"/>
  <c r="M124" i="2"/>
  <c r="L124" i="2"/>
  <c r="O124" i="2" s="1"/>
  <c r="K124" i="2"/>
  <c r="N123" i="2"/>
  <c r="M123" i="2"/>
  <c r="K123" i="2"/>
  <c r="L123" i="2" s="1"/>
  <c r="O123" i="2" s="1"/>
  <c r="N122" i="2"/>
  <c r="M122" i="2"/>
  <c r="L122" i="2"/>
  <c r="O122" i="2" s="1"/>
  <c r="K122" i="2"/>
  <c r="N121" i="2"/>
  <c r="M121" i="2"/>
  <c r="L121" i="2"/>
  <c r="O121" i="2" s="1"/>
  <c r="K121" i="2"/>
  <c r="N120" i="2"/>
  <c r="M120" i="2"/>
  <c r="L120" i="2"/>
  <c r="O120" i="2" s="1"/>
  <c r="K120" i="2"/>
  <c r="N119" i="2"/>
  <c r="M119" i="2"/>
  <c r="K119" i="2"/>
  <c r="L119" i="2" s="1"/>
  <c r="O119" i="2" s="1"/>
  <c r="N118" i="2"/>
  <c r="M118" i="2"/>
  <c r="L118" i="2"/>
  <c r="O118" i="2" s="1"/>
  <c r="K118" i="2"/>
  <c r="N117" i="2"/>
  <c r="M117" i="2"/>
  <c r="K117" i="2"/>
  <c r="L117" i="2" s="1"/>
  <c r="O117" i="2" s="1"/>
  <c r="N116" i="2"/>
  <c r="M116" i="2"/>
  <c r="L116" i="2"/>
  <c r="O116" i="2" s="1"/>
  <c r="K116" i="2"/>
  <c r="N115" i="2"/>
  <c r="M115" i="2"/>
  <c r="K115" i="2"/>
  <c r="L115" i="2" s="1"/>
  <c r="O115" i="2" s="1"/>
  <c r="N114" i="2"/>
  <c r="M114" i="2"/>
  <c r="L114" i="2"/>
  <c r="O114" i="2" s="1"/>
  <c r="K114" i="2"/>
  <c r="N113" i="2"/>
  <c r="M113" i="2"/>
  <c r="L113" i="2"/>
  <c r="O113" i="2" s="1"/>
  <c r="K113" i="2"/>
  <c r="N112" i="2"/>
  <c r="M112" i="2"/>
  <c r="L112" i="2"/>
  <c r="O112" i="2" s="1"/>
  <c r="K112" i="2"/>
  <c r="N111" i="2"/>
  <c r="M111" i="2"/>
  <c r="K111" i="2"/>
  <c r="L111" i="2" s="1"/>
  <c r="O111" i="2" s="1"/>
  <c r="N110" i="2"/>
  <c r="M110" i="2"/>
  <c r="L110" i="2"/>
  <c r="O110" i="2" s="1"/>
  <c r="K110" i="2"/>
  <c r="N109" i="2"/>
  <c r="M109" i="2"/>
  <c r="L109" i="2"/>
  <c r="O109" i="2" s="1"/>
  <c r="K109" i="2"/>
  <c r="N108" i="2"/>
  <c r="M108" i="2"/>
  <c r="L108" i="2"/>
  <c r="O108" i="2" s="1"/>
  <c r="K108" i="2"/>
  <c r="N107" i="2"/>
  <c r="M107" i="2"/>
  <c r="K107" i="2"/>
  <c r="L107" i="2" s="1"/>
  <c r="O107" i="2" s="1"/>
  <c r="N106" i="2"/>
  <c r="M106" i="2"/>
  <c r="L106" i="2"/>
  <c r="O106" i="2" s="1"/>
  <c r="K106" i="2"/>
  <c r="N105" i="2"/>
  <c r="M105" i="2"/>
  <c r="L105" i="2"/>
  <c r="O105" i="2" s="1"/>
  <c r="K105" i="2"/>
  <c r="N104" i="2"/>
  <c r="M104" i="2"/>
  <c r="L104" i="2"/>
  <c r="O104" i="2" s="1"/>
  <c r="K104" i="2"/>
  <c r="N103" i="2"/>
  <c r="M103" i="2"/>
  <c r="K103" i="2"/>
  <c r="L103" i="2" s="1"/>
  <c r="O103" i="2" s="1"/>
  <c r="N102" i="2"/>
  <c r="M102" i="2"/>
  <c r="L102" i="2"/>
  <c r="O102" i="2" s="1"/>
  <c r="K102" i="2"/>
  <c r="N101" i="2"/>
  <c r="M101" i="2"/>
  <c r="K101" i="2"/>
  <c r="L101" i="2" s="1"/>
  <c r="O101" i="2" s="1"/>
  <c r="N100" i="2"/>
  <c r="M100" i="2"/>
  <c r="L100" i="2"/>
  <c r="O100" i="2" s="1"/>
  <c r="K100" i="2"/>
  <c r="N99" i="2"/>
  <c r="M99" i="2"/>
  <c r="K99" i="2"/>
  <c r="L99" i="2" s="1"/>
  <c r="O99" i="2" s="1"/>
  <c r="N98" i="2"/>
  <c r="M98" i="2"/>
  <c r="L98" i="2"/>
  <c r="O98" i="2" s="1"/>
  <c r="K98" i="2"/>
  <c r="N97" i="2"/>
  <c r="M97" i="2"/>
  <c r="L97" i="2"/>
  <c r="O97" i="2" s="1"/>
  <c r="K97" i="2"/>
  <c r="N96" i="2"/>
  <c r="M96" i="2"/>
  <c r="L96" i="2"/>
  <c r="O96" i="2" s="1"/>
  <c r="K96" i="2"/>
  <c r="N95" i="2"/>
  <c r="M95" i="2"/>
  <c r="K95" i="2"/>
  <c r="L95" i="2" s="1"/>
  <c r="O95" i="2" s="1"/>
  <c r="N94" i="2"/>
  <c r="M94" i="2"/>
  <c r="L94" i="2"/>
  <c r="O94" i="2" s="1"/>
  <c r="K94" i="2"/>
  <c r="N93" i="2"/>
  <c r="M93" i="2"/>
  <c r="L93" i="2"/>
  <c r="O93" i="2" s="1"/>
  <c r="K93" i="2"/>
  <c r="N92" i="2"/>
  <c r="M92" i="2"/>
  <c r="L92" i="2"/>
  <c r="O92" i="2" s="1"/>
  <c r="K92" i="2"/>
  <c r="N91" i="2"/>
  <c r="M91" i="2"/>
  <c r="K91" i="2"/>
  <c r="L91" i="2" s="1"/>
  <c r="O91" i="2" s="1"/>
  <c r="N90" i="2"/>
  <c r="M90" i="2"/>
  <c r="L90" i="2"/>
  <c r="O90" i="2" s="1"/>
  <c r="K90" i="2"/>
  <c r="N89" i="2"/>
  <c r="M89" i="2"/>
  <c r="L89" i="2"/>
  <c r="O89" i="2" s="1"/>
  <c r="K89" i="2"/>
  <c r="N88" i="2"/>
  <c r="M88" i="2"/>
  <c r="L88" i="2"/>
  <c r="O88" i="2" s="1"/>
  <c r="K88" i="2"/>
  <c r="N87" i="2"/>
  <c r="M87" i="2"/>
  <c r="K87" i="2"/>
  <c r="L87" i="2" s="1"/>
  <c r="O87" i="2" s="1"/>
  <c r="N86" i="2"/>
  <c r="M86" i="2"/>
  <c r="L86" i="2"/>
  <c r="O86" i="2" s="1"/>
  <c r="K86" i="2"/>
  <c r="N85" i="2"/>
  <c r="M85" i="2"/>
  <c r="L85" i="2"/>
  <c r="O85" i="2" s="1"/>
  <c r="K85" i="2"/>
  <c r="N84" i="2"/>
  <c r="M84" i="2"/>
  <c r="L84" i="2"/>
  <c r="O84" i="2" s="1"/>
  <c r="K84" i="2"/>
  <c r="N83" i="2"/>
  <c r="M83" i="2"/>
  <c r="K83" i="2"/>
  <c r="L83" i="2" s="1"/>
  <c r="O83" i="2" s="1"/>
  <c r="N82" i="2"/>
  <c r="M82" i="2"/>
  <c r="L82" i="2"/>
  <c r="O82" i="2" s="1"/>
  <c r="K82" i="2"/>
  <c r="N81" i="2"/>
  <c r="M81" i="2"/>
  <c r="L81" i="2"/>
  <c r="O81" i="2" s="1"/>
  <c r="K81" i="2"/>
  <c r="N80" i="2"/>
  <c r="M80" i="2"/>
  <c r="L80" i="2"/>
  <c r="O80" i="2" s="1"/>
  <c r="K80" i="2"/>
  <c r="N79" i="2"/>
  <c r="M79" i="2"/>
  <c r="K79" i="2"/>
  <c r="L79" i="2" s="1"/>
  <c r="O79" i="2" s="1"/>
  <c r="N78" i="2"/>
  <c r="M78" i="2"/>
  <c r="L78" i="2"/>
  <c r="O78" i="2" s="1"/>
  <c r="K78" i="2"/>
  <c r="N77" i="2"/>
  <c r="M77" i="2"/>
  <c r="L77" i="2"/>
  <c r="O77" i="2" s="1"/>
  <c r="K77" i="2"/>
  <c r="N76" i="2"/>
  <c r="M76" i="2"/>
  <c r="L76" i="2"/>
  <c r="O76" i="2" s="1"/>
  <c r="K76" i="2"/>
  <c r="N75" i="2"/>
  <c r="M75" i="2"/>
  <c r="K75" i="2"/>
  <c r="L75" i="2" s="1"/>
  <c r="O75" i="2" s="1"/>
  <c r="N74" i="2"/>
  <c r="M74" i="2"/>
  <c r="L74" i="2"/>
  <c r="O74" i="2" s="1"/>
  <c r="K74" i="2"/>
  <c r="N73" i="2"/>
  <c r="M73" i="2"/>
  <c r="L73" i="2"/>
  <c r="O73" i="2" s="1"/>
  <c r="K73" i="2"/>
  <c r="N72" i="2"/>
  <c r="M72" i="2"/>
  <c r="L72" i="2"/>
  <c r="O72" i="2" s="1"/>
  <c r="K72" i="2"/>
  <c r="N71" i="2"/>
  <c r="M71" i="2"/>
  <c r="K71" i="2"/>
  <c r="L71" i="2" s="1"/>
  <c r="O71" i="2" s="1"/>
  <c r="N70" i="2"/>
  <c r="M70" i="2"/>
  <c r="L70" i="2"/>
  <c r="O70" i="2" s="1"/>
  <c r="K70" i="2"/>
  <c r="N69" i="2"/>
  <c r="M69" i="2"/>
  <c r="L69" i="2"/>
  <c r="O69" i="2" s="1"/>
  <c r="K69" i="2"/>
  <c r="N68" i="2"/>
  <c r="M68" i="2"/>
  <c r="L68" i="2"/>
  <c r="O68" i="2" s="1"/>
  <c r="K68" i="2"/>
  <c r="N67" i="2"/>
  <c r="M67" i="2"/>
  <c r="K67" i="2"/>
  <c r="L67" i="2" s="1"/>
  <c r="O67" i="2" s="1"/>
  <c r="N66" i="2"/>
  <c r="M66" i="2"/>
  <c r="L66" i="2"/>
  <c r="O66" i="2" s="1"/>
  <c r="K66" i="2"/>
  <c r="N65" i="2"/>
  <c r="M65" i="2"/>
  <c r="K65" i="2"/>
  <c r="L65" i="2" s="1"/>
  <c r="O65" i="2" s="1"/>
  <c r="N64" i="2"/>
  <c r="M64" i="2"/>
  <c r="L64" i="2"/>
  <c r="O64" i="2" s="1"/>
  <c r="K64" i="2"/>
  <c r="N63" i="2"/>
  <c r="M63" i="2"/>
  <c r="K63" i="2"/>
  <c r="L63" i="2" s="1"/>
  <c r="O63" i="2" s="1"/>
  <c r="N62" i="2"/>
  <c r="M62" i="2"/>
  <c r="L62" i="2"/>
  <c r="O62" i="2" s="1"/>
  <c r="K62" i="2"/>
  <c r="N61" i="2"/>
  <c r="M61" i="2"/>
  <c r="L61" i="2"/>
  <c r="O61" i="2" s="1"/>
  <c r="K61" i="2"/>
  <c r="N60" i="2"/>
  <c r="M60" i="2"/>
  <c r="L60" i="2"/>
  <c r="O60" i="2" s="1"/>
  <c r="K60" i="2"/>
  <c r="N59" i="2"/>
  <c r="M59" i="2"/>
  <c r="K59" i="2"/>
  <c r="L59" i="2" s="1"/>
  <c r="O59" i="2" s="1"/>
  <c r="N58" i="2"/>
  <c r="M58" i="2"/>
  <c r="L58" i="2"/>
  <c r="O58" i="2" s="1"/>
  <c r="K58" i="2"/>
  <c r="N57" i="2"/>
  <c r="M57" i="2"/>
  <c r="L57" i="2"/>
  <c r="O57" i="2" s="1"/>
  <c r="K57" i="2"/>
  <c r="N56" i="2"/>
  <c r="M56" i="2"/>
  <c r="L56" i="2"/>
  <c r="O56" i="2" s="1"/>
  <c r="K56" i="2"/>
  <c r="N55" i="2"/>
  <c r="M55" i="2"/>
  <c r="K55" i="2"/>
  <c r="L55" i="2" s="1"/>
  <c r="O55" i="2" s="1"/>
  <c r="N54" i="2"/>
  <c r="M54" i="2"/>
  <c r="L54" i="2"/>
  <c r="O54" i="2" s="1"/>
  <c r="K54" i="2"/>
  <c r="N53" i="2"/>
  <c r="M53" i="2"/>
  <c r="K53" i="2"/>
  <c r="L53" i="2" s="1"/>
  <c r="O53" i="2" s="1"/>
  <c r="N52" i="2"/>
  <c r="M52" i="2"/>
  <c r="L52" i="2"/>
  <c r="O52" i="2" s="1"/>
  <c r="K52" i="2"/>
  <c r="N51" i="2"/>
  <c r="M51" i="2"/>
  <c r="K51" i="2"/>
  <c r="L51" i="2" s="1"/>
  <c r="O51" i="2" s="1"/>
  <c r="N50" i="2"/>
  <c r="M50" i="2"/>
  <c r="L50" i="2"/>
  <c r="O50" i="2" s="1"/>
  <c r="K50" i="2"/>
  <c r="N49" i="2"/>
  <c r="M49" i="2"/>
  <c r="K49" i="2"/>
  <c r="L49" i="2" s="1"/>
  <c r="O49" i="2" s="1"/>
  <c r="N48" i="2"/>
  <c r="M48" i="2"/>
  <c r="L48" i="2"/>
  <c r="O48" i="2" s="1"/>
  <c r="K48" i="2"/>
  <c r="N47" i="2"/>
  <c r="M47" i="2"/>
  <c r="K47" i="2"/>
  <c r="L47" i="2" s="1"/>
  <c r="O47" i="2" s="1"/>
  <c r="N46" i="2"/>
  <c r="M46" i="2"/>
  <c r="L46" i="2"/>
  <c r="O46" i="2" s="1"/>
  <c r="K46" i="2"/>
  <c r="N45" i="2"/>
  <c r="M45" i="2"/>
  <c r="K45" i="2"/>
  <c r="L45" i="2" s="1"/>
  <c r="O45" i="2" s="1"/>
  <c r="N44" i="2"/>
  <c r="M44" i="2"/>
  <c r="L44" i="2"/>
  <c r="O44" i="2" s="1"/>
  <c r="K44" i="2"/>
  <c r="N43" i="2"/>
  <c r="M43" i="2"/>
  <c r="K43" i="2"/>
  <c r="L43" i="2" s="1"/>
  <c r="O43" i="2" s="1"/>
  <c r="N42" i="2"/>
  <c r="M42" i="2"/>
  <c r="L42" i="2"/>
  <c r="O42" i="2" s="1"/>
  <c r="K42" i="2"/>
  <c r="N41" i="2"/>
  <c r="M41" i="2"/>
  <c r="K41" i="2"/>
  <c r="L41" i="2" s="1"/>
  <c r="O41" i="2" s="1"/>
  <c r="N40" i="2"/>
  <c r="M40" i="2"/>
  <c r="L40" i="2"/>
  <c r="O40" i="2" s="1"/>
  <c r="K40" i="2"/>
  <c r="N39" i="2"/>
  <c r="M39" i="2"/>
  <c r="K39" i="2"/>
  <c r="L39" i="2" s="1"/>
  <c r="O39" i="2" s="1"/>
  <c r="N38" i="2"/>
  <c r="M38" i="2"/>
  <c r="L38" i="2"/>
  <c r="O38" i="2" s="1"/>
  <c r="K38" i="2"/>
  <c r="N37" i="2"/>
  <c r="M37" i="2"/>
  <c r="K37" i="2"/>
  <c r="L37" i="2" s="1"/>
  <c r="O37" i="2" s="1"/>
  <c r="N36" i="2"/>
  <c r="M36" i="2"/>
  <c r="L36" i="2"/>
  <c r="O36" i="2" s="1"/>
  <c r="K36" i="2"/>
  <c r="N35" i="2"/>
  <c r="M35" i="2"/>
  <c r="K35" i="2"/>
  <c r="L35" i="2" s="1"/>
  <c r="O35" i="2" s="1"/>
  <c r="N34" i="2"/>
  <c r="M34" i="2"/>
  <c r="L34" i="2"/>
  <c r="O34" i="2" s="1"/>
  <c r="K34" i="2"/>
  <c r="N33" i="2"/>
  <c r="M33" i="2"/>
  <c r="K33" i="2"/>
  <c r="L33" i="2" s="1"/>
  <c r="O33" i="2" s="1"/>
  <c r="N32" i="2"/>
  <c r="M32" i="2"/>
  <c r="L32" i="2"/>
  <c r="O32" i="2" s="1"/>
  <c r="K32" i="2"/>
  <c r="N31" i="2"/>
  <c r="M31" i="2"/>
  <c r="K31" i="2"/>
  <c r="L31" i="2" s="1"/>
  <c r="O31" i="2" s="1"/>
  <c r="N30" i="2"/>
  <c r="M30" i="2"/>
  <c r="L30" i="2"/>
  <c r="O30" i="2" s="1"/>
  <c r="K30" i="2"/>
  <c r="N29" i="2"/>
  <c r="M29" i="2"/>
  <c r="K29" i="2"/>
  <c r="L29" i="2" s="1"/>
  <c r="O29" i="2" s="1"/>
  <c r="N28" i="2"/>
  <c r="M28" i="2"/>
  <c r="L28" i="2"/>
  <c r="O28" i="2" s="1"/>
  <c r="K28" i="2"/>
  <c r="N27" i="2"/>
  <c r="M27" i="2"/>
  <c r="K27" i="2"/>
  <c r="L27" i="2" s="1"/>
  <c r="O27" i="2" s="1"/>
  <c r="N26" i="2"/>
  <c r="M26" i="2"/>
  <c r="L26" i="2"/>
  <c r="O26" i="2" s="1"/>
  <c r="K26" i="2"/>
  <c r="N25" i="2"/>
  <c r="M25" i="2"/>
  <c r="K25" i="2"/>
  <c r="L25" i="2" s="1"/>
  <c r="O25" i="2" s="1"/>
  <c r="N24" i="2"/>
  <c r="M24" i="2"/>
  <c r="L24" i="2"/>
  <c r="O24" i="2" s="1"/>
  <c r="K24" i="2"/>
  <c r="N23" i="2"/>
  <c r="M23" i="2"/>
  <c r="K23" i="2"/>
  <c r="L23" i="2" s="1"/>
  <c r="O23" i="2" s="1"/>
  <c r="N22" i="2"/>
  <c r="M22" i="2"/>
  <c r="L22" i="2"/>
  <c r="O22" i="2" s="1"/>
  <c r="K22" i="2"/>
  <c r="N21" i="2"/>
  <c r="M21" i="2"/>
  <c r="K21" i="2"/>
  <c r="L21" i="2" s="1"/>
  <c r="O21" i="2" s="1"/>
  <c r="N20" i="2"/>
  <c r="M20" i="2"/>
  <c r="L20" i="2"/>
  <c r="O20" i="2" s="1"/>
  <c r="K20" i="2"/>
  <c r="N19" i="2"/>
  <c r="M19" i="2"/>
  <c r="K19" i="2"/>
  <c r="L19" i="2" s="1"/>
  <c r="O19" i="2" s="1"/>
  <c r="N18" i="2"/>
  <c r="M18" i="2"/>
  <c r="L18" i="2"/>
  <c r="O18" i="2" s="1"/>
  <c r="K18" i="2"/>
  <c r="N17" i="2"/>
  <c r="M17" i="2"/>
  <c r="K17" i="2"/>
  <c r="L17" i="2" s="1"/>
  <c r="O17" i="2" s="1"/>
  <c r="N16" i="2"/>
  <c r="M16" i="2"/>
  <c r="L16" i="2"/>
  <c r="O16" i="2" s="1"/>
  <c r="K16" i="2"/>
  <c r="N15" i="2"/>
  <c r="M15" i="2"/>
  <c r="K15" i="2"/>
  <c r="L15" i="2" s="1"/>
  <c r="O15" i="2" s="1"/>
  <c r="N14" i="2"/>
  <c r="M14" i="2"/>
  <c r="L14" i="2"/>
  <c r="O14" i="2" s="1"/>
  <c r="K14" i="2"/>
  <c r="N13" i="2"/>
  <c r="M13" i="2"/>
  <c r="K13" i="2"/>
  <c r="L13" i="2" s="1"/>
  <c r="O13" i="2" s="1"/>
  <c r="N12" i="2"/>
  <c r="M12" i="2"/>
  <c r="L12" i="2"/>
  <c r="O12" i="2" s="1"/>
  <c r="K12" i="2"/>
  <c r="N11" i="2"/>
  <c r="M11" i="2"/>
  <c r="K11" i="2"/>
  <c r="L11" i="2" s="1"/>
  <c r="O11" i="2" s="1"/>
  <c r="N10" i="2"/>
  <c r="M10" i="2"/>
  <c r="L10" i="2"/>
  <c r="O10" i="2" s="1"/>
  <c r="K10" i="2"/>
  <c r="N9" i="2"/>
  <c r="M9" i="2"/>
  <c r="K9" i="2"/>
  <c r="L9" i="2" s="1"/>
  <c r="O9" i="2" s="1"/>
  <c r="N8" i="2"/>
  <c r="M8" i="2"/>
  <c r="L8" i="2"/>
  <c r="O8" i="2" s="1"/>
  <c r="K8" i="2"/>
  <c r="N7" i="2"/>
  <c r="M7" i="2"/>
  <c r="K7" i="2"/>
  <c r="L7" i="2" s="1"/>
  <c r="O7" i="2" s="1"/>
  <c r="N6" i="2"/>
  <c r="M6" i="2"/>
  <c r="L6" i="2"/>
  <c r="O6" i="2" s="1"/>
  <c r="K6" i="2"/>
  <c r="N5" i="2"/>
  <c r="M5" i="2"/>
  <c r="K5" i="2"/>
  <c r="L5" i="2" s="1"/>
  <c r="O5" i="2" s="1"/>
  <c r="N4" i="2"/>
  <c r="M4" i="2"/>
  <c r="L4" i="2"/>
  <c r="O4" i="2" s="1"/>
  <c r="K4" i="2"/>
  <c r="N3" i="2"/>
  <c r="M3" i="2"/>
  <c r="K3" i="2"/>
  <c r="L3" i="2" s="1"/>
  <c r="O3" i="2" s="1"/>
  <c r="N2" i="2"/>
  <c r="M2" i="2"/>
  <c r="L2" i="2"/>
  <c r="O2" i="2" s="1"/>
  <c r="K2" i="2"/>
  <c r="C20" i="5" l="1"/>
  <c r="C21" i="5"/>
  <c r="C22" i="5"/>
  <c r="C23" i="5"/>
  <c r="D20" i="5"/>
  <c r="D21" i="5"/>
  <c r="D22" i="5"/>
  <c r="D23" i="5"/>
</calcChain>
</file>

<file path=xl/sharedStrings.xml><?xml version="1.0" encoding="utf-8"?>
<sst xmlns="http://schemas.openxmlformats.org/spreadsheetml/2006/main" count="1980" uniqueCount="288">
  <si>
    <t>FINAL PRACTICAL EXAM - EXCEL DASHBOARD</t>
  </si>
  <si>
    <t>PROJECT OVERVIEW</t>
  </si>
  <si>
    <t>This dashboard demonstrates comprehensive Excel skills including data cleaning,</t>
  </si>
  <si>
    <t>pivot tables, advanced formulas, conditional formatting, and interactive elements.</t>
  </si>
  <si>
    <t>SHEETS INCLUDED:</t>
  </si>
  <si>
    <t>1. Documentation</t>
  </si>
  <si>
    <t>Overview and project details</t>
  </si>
  <si>
    <t>2. Raw Data</t>
  </si>
  <si>
    <t>Original 150 sales records</t>
  </si>
  <si>
    <t>3. Cleaned Data</t>
  </si>
  <si>
    <t>Data after cleaning (duplicates removed, formatted)</t>
  </si>
  <si>
    <t>4. Pivot Tables</t>
  </si>
  <si>
    <t>Sales analysis by region, product, and category</t>
  </si>
  <si>
    <t>5. Analysis</t>
  </si>
  <si>
    <t>Advanced formulas (VLOOKUP, INDEX-MATCH, IF)</t>
  </si>
  <si>
    <t>6. Dashboard</t>
  </si>
  <si>
    <t>Interactive dashboard with charts and slicers</t>
  </si>
  <si>
    <t>SKILLS DEMONSTRATED:</t>
  </si>
  <si>
    <t>Dataset Selection &amp; Import</t>
  </si>
  <si>
    <t>5%</t>
  </si>
  <si>
    <t>Data Cleaning &amp; Preparation</t>
  </si>
  <si>
    <t>10%</t>
  </si>
  <si>
    <t>Create Pivot Tables</t>
  </si>
  <si>
    <t>15%</t>
  </si>
  <si>
    <t>Advanced Formulas</t>
  </si>
  <si>
    <t>Data Visualization</t>
  </si>
  <si>
    <t>20%</t>
  </si>
  <si>
    <t>Interactive Dashboard</t>
  </si>
  <si>
    <t>25%</t>
  </si>
  <si>
    <t>Documentation</t>
  </si>
  <si>
    <t>CREATED BY:</t>
  </si>
  <si>
    <t>Excel Dashboard Project</t>
  </si>
  <si>
    <t>DATE:</t>
  </si>
  <si>
    <t>April 09, 2026</t>
  </si>
  <si>
    <t>SaleID</t>
  </si>
  <si>
    <t>Date</t>
  </si>
  <si>
    <t>Product</t>
  </si>
  <si>
    <t>Category</t>
  </si>
  <si>
    <t>Region</t>
  </si>
  <si>
    <t>Salesperson</t>
  </si>
  <si>
    <t>Quantity</t>
  </si>
  <si>
    <t>UnitPrice</t>
  </si>
  <si>
    <t>Cost</t>
  </si>
  <si>
    <t>Sales</t>
  </si>
  <si>
    <t>Profit</t>
  </si>
  <si>
    <t>ProfitMargin</t>
  </si>
  <si>
    <t>Year</t>
  </si>
  <si>
    <t>Month</t>
  </si>
  <si>
    <t>Performance</t>
  </si>
  <si>
    <t>S1001</t>
  </si>
  <si>
    <t>Phone</t>
  </si>
  <si>
    <t>Electronics</t>
  </si>
  <si>
    <t>North</t>
  </si>
  <si>
    <t>Charlie</t>
  </si>
  <si>
    <t>S1002</t>
  </si>
  <si>
    <t>Evan</t>
  </si>
  <si>
    <t>S1003</t>
  </si>
  <si>
    <t>South</t>
  </si>
  <si>
    <t>Bob</t>
  </si>
  <si>
    <t>S1004</t>
  </si>
  <si>
    <t>Printer</t>
  </si>
  <si>
    <t>Peripherals</t>
  </si>
  <si>
    <t>S1005</t>
  </si>
  <si>
    <t>Router</t>
  </si>
  <si>
    <t>East</t>
  </si>
  <si>
    <t>Alice</t>
  </si>
  <si>
    <t>S1006</t>
  </si>
  <si>
    <t>Mouse</t>
  </si>
  <si>
    <t>S1007</t>
  </si>
  <si>
    <t>Diana</t>
  </si>
  <si>
    <t>S1008</t>
  </si>
  <si>
    <t>S1009</t>
  </si>
  <si>
    <t>Headphones</t>
  </si>
  <si>
    <t>Accessories</t>
  </si>
  <si>
    <t>S1010</t>
  </si>
  <si>
    <t>S1011</t>
  </si>
  <si>
    <t>Laptop</t>
  </si>
  <si>
    <t>S1012</t>
  </si>
  <si>
    <t>West</t>
  </si>
  <si>
    <t>S1013</t>
  </si>
  <si>
    <t>Tablet</t>
  </si>
  <si>
    <t>S1014</t>
  </si>
  <si>
    <t>S1015</t>
  </si>
  <si>
    <t>S1016</t>
  </si>
  <si>
    <t>S1017</t>
  </si>
  <si>
    <t>S1018</t>
  </si>
  <si>
    <t>Webcam</t>
  </si>
  <si>
    <t>S1019</t>
  </si>
  <si>
    <t>Monitor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</si>
  <si>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</si>
  <si>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</si>
  <si>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</si>
  <si>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</si>
  <si>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</si>
  <si>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</si>
  <si>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</si>
  <si>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</si>
  <si>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</si>
  <si>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</si>
  <si>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Keyboard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</si>
  <si>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</si>
  <si>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</si>
  <si>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</si>
  <si>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</si>
  <si>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</si>
  <si>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</si>
  <si>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</si>
  <si>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</si>
  <si>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</si>
  <si>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</si>
  <si>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</si>
  <si>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</si>
  <si>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</si>
  <si>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</si>
  <si>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</si>
  <si>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</si>
  <si>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</si>
  <si>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</si>
  <si>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</si>
  <si>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</si>
  <si>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</si>
  <si>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</si>
  <si>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</si>
  <si>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</si>
  <si>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</si>
  <si>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</si>
  <si>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</si>
  <si>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</si>
  <si>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</si>
  <si>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</si>
  <si>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</si>
  <si>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</si>
  <si>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</si>
  <si>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</si>
  <si>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</si>
  <si>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</si>
  <si>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</si>
  <si>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</si>
  <si>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</si>
  <si>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</si>
  <si>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</si>
  <si>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</si>
  <si>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</si>
  <si>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</si>
  <si>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</si>
  <si>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</si>
  <si>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</si>
  <si>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</si>
  <si>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</si>
  <si>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</si>
  <si>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</si>
  <si>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</si>
  <si>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</si>
  <si>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</si>
  <si>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</si>
  <si>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</si>
  <si>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</si>
  <si>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</si>
  <si>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</si>
  <si>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</si>
  <si>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</si>
  <si>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</si>
  <si>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</si>
  <si>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</si>
  <si>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</si>
  <si>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</si>
  <si>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</si>
  <si>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</si>
  <si>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</si>
  <si>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</si>
  <si>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</si>
  <si>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</si>
  <si>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</si>
  <si>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</si>
  <si>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</si>
  <si>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</si>
  <si>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</si>
  <si>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</si>
  <si>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</si>
  <si>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</si>
  <si>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</si>
  <si>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</si>
  <si>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</si>
  <si>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</si>
  <si>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</si>
  <si>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</si>
  <si>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</si>
  <si>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</si>
  <si>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</si>
  <si>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</si>
  <si>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</si>
  <si>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</si>
  <si>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</si>
  <si>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</si>
  <si>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</si>
  <si>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</si>
  <si>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</si>
  <si>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</si>
  <si>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</si>
  <si>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</si>
  <si>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</si>
  <si>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</si>
  <si>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</si>
  <si>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</si>
  <si>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</si>
  <si>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</si>
  <si>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</si>
  <si>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</si>
  <si>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</si>
  <si>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</si>
  <si>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</si>
  <si>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</si>
  <si>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</si>
  <si>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</si>
  <si>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</si>
  <si>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</si>
  <si>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</si>
  <si>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</si>
  <si>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</si>
  <si>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</si>
  <si>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</si>
  <si>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October</t>
  </si>
  <si>
    <t>Excellent</t>
  </si>
  <si>
    <t>May</t>
  </si>
  <si>
    <t>January</t>
  </si>
  <si>
    <t>April</t>
  </si>
  <si>
    <t>March</t>
  </si>
  <si>
    <t>December</t>
  </si>
  <si>
    <t>August</t>
  </si>
  <si>
    <t>November</t>
  </si>
  <si>
    <t>June</t>
  </si>
  <si>
    <t>July</t>
  </si>
  <si>
    <t>September</t>
  </si>
  <si>
    <t>February</t>
  </si>
  <si>
    <t>SALES SUMMARY BY REGION</t>
  </si>
  <si>
    <t>Total Sales</t>
  </si>
  <si>
    <t>Total Profit</t>
  </si>
  <si>
    <t>Total Qty</t>
  </si>
  <si>
    <t>Avg Margin %</t>
  </si>
  <si>
    <t>SALES SUMMARY BY CATEGORY</t>
  </si>
  <si>
    <t>ADVANCED FORMULAS DEMONSTRATION</t>
  </si>
  <si>
    <t>VLOOKUP EXAMPLES</t>
  </si>
  <si>
    <t>INDEX-MATCH EXAMPLES</t>
  </si>
  <si>
    <t>Search Sale ID:</t>
  </si>
  <si>
    <t>Find top product:</t>
  </si>
  <si>
    <t>VLOOKUP Results:</t>
  </si>
  <si>
    <t>Product:</t>
  </si>
  <si>
    <t>Best Product:</t>
  </si>
  <si>
    <t>Category:</t>
  </si>
  <si>
    <t>Max Sales:</t>
  </si>
  <si>
    <t>Region:</t>
  </si>
  <si>
    <t>Sales:</t>
  </si>
  <si>
    <t>NESTED IF &amp; LOGICAL FUNCTIONS</t>
  </si>
  <si>
    <t>Sales Target Analysis</t>
  </si>
  <si>
    <t>Target:</t>
  </si>
  <si>
    <t>Status</t>
  </si>
  <si>
    <t>Bonus</t>
  </si>
  <si>
    <t>Rating</t>
  </si>
  <si>
    <t>SUMIFS (Multi-criteria):</t>
  </si>
  <si>
    <t>Result:</t>
  </si>
  <si>
    <t>INTERACTIVE SALES DASHBOARD</t>
  </si>
  <si>
    <t>Total Orders</t>
  </si>
  <si>
    <t>FILTER OPTIONS</t>
  </si>
  <si>
    <t>Select Region:</t>
  </si>
  <si>
    <t>All</t>
  </si>
  <si>
    <t>Avg Order Value</t>
  </si>
  <si>
    <t>Best Region</t>
  </si>
  <si>
    <t>Top Product</t>
  </si>
  <si>
    <t>Select Category:</t>
  </si>
  <si>
    <t>Select Year:</t>
  </si>
  <si>
    <t>Chart Data - Sales by Region</t>
  </si>
  <si>
    <t>Category Distribution</t>
  </si>
  <si>
    <t>Filtered Results:</t>
  </si>
  <si>
    <t>Total Sales:</t>
  </si>
  <si>
    <t>Record Count:</t>
  </si>
  <si>
    <t>Monthly Sales Trend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</si>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</sst>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:mm:ss"/>
    <numFmt numFmtId="165" formatCode="\$#,##0"/>
    <numFmt numFmtId="166" formatCode="0.0\%"/>
  </numFmts>
  <fonts count="8" x14ac:knownFonts="1">
    <font>
      <sz val="11"/>
      <color rgb="FF000000"/>
      <name val="Calibri"/>
      <family val="2"/>
      <charset val="1"/>
    </font>
    <font>
      <b/>
      <sz val="16"/>
      <color rgb="FFFFFFFF"/>
      <name val="Cambria"/>
      <charset val="1"/>
    </font>
    <font>
      <b/>
      <sz val="12"/>
      <color rgb="FFFFFFFF"/>
      <name val="Cambria"/>
      <charset val="1"/>
    </font>
    <font>
      <b/>
      <sz val="11"/>
      <color rgb="FFFFFFFF"/>
      <name val="Cambria"/>
      <charset val="1"/>
    </font>
    <font>
      <b/>
      <sz val="14"/>
      <color rgb="FFFFFFFF"/>
      <name val="Cambria"/>
      <charset val="1"/>
    </font>
    <font>
      <b/>
      <sz val="18"/>
      <color rgb="FFFFFFFF"/>
      <name val="Cambria"/>
      <charset val="1"/>
    </font>
    <font>
      <sz val="10"/>
      <color rgb="FFFFFFFF"/>
      <name val="Cambria"/>
      <charset val="1"/>
    </font>
    <font>
      <b/>
      <sz val="11"/>
      <name val="Cambria"/>
      <charset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  <fill>
      <patternFill patternType="solid">
        <fgColor rgb="FF5B9BD5"/>
        <bgColor rgb="FF4F81BD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203764"/>
        <bgColor rgb="FF333333"/>
      </patternFill>
    </fill>
    <fill>
      <patternFill patternType="solid">
        <fgColor rgb="FFFFFFCC"/>
        <bgColor rgb="FFF9F9F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3" fillId="2" borderId="0" xfId="0" applyFont="1" applyFill="1" applyAlignment="1">
      <alignment horizontal="center"/>
    </xf>
    <xf numFmtId="164" fontId="0" fillId="0" borderId="0" xfId="0" applyNumberFormat="1" applyAlignmen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3" fillId="4" borderId="0" xfId="0" applyFont="1" applyFill="1" applyAlignment="1">
      <alignment horizontal="center"/>
    </xf>
    <xf numFmtId="0" fontId="0" fillId="0" borderId="0" xfId="0" applyFont="1" applyAlignment="1"/>
    <xf numFmtId="0" fontId="3" fillId="3" borderId="0" xfId="0" applyFont="1" applyFill="1" applyAlignment="1"/>
    <xf numFmtId="165" fontId="0" fillId="0" borderId="0" xfId="0" applyNumberFormat="1" applyAlignment="1"/>
    <xf numFmtId="166" fontId="0" fillId="0" borderId="0" xfId="0" applyNumberFormat="1" applyAlignment="1"/>
    <xf numFmtId="0" fontId="6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0" fillId="7" borderId="0" xfId="0" applyFont="1" applyFill="1" applyAlignment="1"/>
    <xf numFmtId="49" fontId="1" fillId="2" borderId="0" xfId="0" applyNumberFormat="1" applyFont="1" applyFill="1" applyAlignment="1">
      <alignment horizontal="center"/>
    </xf>
    <xf numFmtId="0" fontId="7" fillId="0" borderId="0" xfId="0" applyFont="1" applyAlignment="1"/>
    <xf numFmtId="0" fontId="0" fillId="8" borderId="0" xfId="0" applyFill="1" applyAlignment="1"/>
    <xf numFmtId="165" fontId="0" fillId="8" borderId="0" xfId="0" applyNumberFormat="1" applyFill="1" applyAlignment="1"/>
    <xf numFmtId="0" fontId="0" fillId="9" borderId="0" xfId="0" applyFill="1" applyAlignment="1"/>
    <xf numFmtId="165" fontId="0" fillId="9" borderId="0" xfId="0" applyNumberFormat="1" applyFill="1" applyAlignment="1"/>
    <xf numFmtId="0" fontId="0" fillId="10" borderId="0" xfId="0" applyFont="1" applyFill="1" applyAlignment="1"/>
    <xf numFmtId="0" fontId="0" fillId="11" borderId="0" xfId="0" applyFill="1" applyAlignment="1"/>
    <xf numFmtId="165" fontId="0" fillId="12" borderId="0" xfId="0" applyNumberFormat="1" applyFill="1" applyAlignment="1"/>
    <xf numFmtId="165" fontId="0" fillId="11" borderId="0" xfId="0" applyNumberFormat="1" applyFill="1" applyAlignment="1"/>
    <xf numFmtId="0" fontId="0" fillId="13" borderId="0" xfId="0" applyFill="1" applyAlignment="1"/>
    <xf numFmtId="165" fontId="0" fillId="13" borderId="0" xfId="0" applyNumberFormat="1" applyFill="1" applyAlignment="1"/>
    <xf numFmtId="0" fontId="4" fillId="2" borderId="0" xfId="0" applyFont="1" applyFill="1" applyBorder="1" applyAlignment="1"/>
    <xf numFmtId="0" fontId="2" fillId="3" borderId="0" xfId="0" applyFont="1" applyFill="1" applyBorder="1" applyAlignment="1"/>
    <xf numFmtId="0" fontId="2" fillId="4" borderId="0" xfId="0" applyFont="1" applyFill="1" applyBorder="1" applyAlignment="1"/>
    <xf numFmtId="0" fontId="2" fillId="5" borderId="0" xfId="0" applyFont="1" applyFill="1" applyBorder="1" applyAlignment="1"/>
    <xf numFmtId="0" fontId="5" fillId="6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5B9BD5"/>
      <rgbColor rgb="FFC0504D"/>
      <rgbColor rgb="FFFFFF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A7EBB"/>
      <rgbColor rgb="FF70AD47"/>
      <rgbColor rgb="FF2037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layout>
        <c:manualLayout>
          <c:xMode val="edge"/>
          <c:yMode val="edge"/>
          <c:x val="0.3035242744083817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143793</c:v>
                </c:pt>
                <c:pt idx="1">
                  <c:v>171653</c:v>
                </c:pt>
                <c:pt idx="2">
                  <c:v>208885</c:v>
                </c:pt>
                <c:pt idx="3">
                  <c:v>172666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39456"/>
        <c:axId val="202341376"/>
      </c:barChart>
      <c:catAx>
        <c:axId val="2023394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341376"/>
        <c:crosses val="autoZero"/>
        <c:auto val="1"/>
        <c:lblAlgn val="ctr"/>
        <c:lblOffset val="100"/>
        <c:noMultiLvlLbl val="0"/>
      </c:catAx>
      <c:valAx>
        <c:axId val="2023413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3394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Dashboard!$E$11</c:f>
              <c:strCache>
                <c:ptCount val="1"/>
                <c:pt idx="0">
                  <c:v>84755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</c:dLbls>
          <c:cat>
            <c:strRef>
              <c:f>Dashboard!$D$12:$D$13</c:f>
              <c:strCache>
                <c:ptCount val="2"/>
                <c:pt idx="0">
                  <c:v>Electronics</c:v>
                </c:pt>
                <c:pt idx="1">
                  <c:v>Peripherals</c:v>
                </c:pt>
              </c:strCache>
            </c:strRef>
          </c:cat>
          <c:val>
            <c:numRef>
              <c:f>Dashboard!$E$12:$E$13</c:f>
              <c:numCache>
                <c:formatCode>General</c:formatCode>
                <c:ptCount val="2"/>
                <c:pt idx="0">
                  <c:v>422800</c:v>
                </c:pt>
                <c:pt idx="1">
                  <c:v>189442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Dashboard!$A$27:$A$37</c:f>
              <c:strCache>
                <c:ptCount val="11"/>
                <c:pt idx="0">
                  <c:v>2023-02</c:v>
                </c:pt>
                <c:pt idx="1">
                  <c:v>2023-03</c:v>
                </c:pt>
                <c:pt idx="2">
                  <c:v>2023-04</c:v>
                </c:pt>
                <c:pt idx="3">
                  <c:v>2023-05</c:v>
                </c:pt>
                <c:pt idx="4">
                  <c:v>2023-06</c:v>
                </c:pt>
                <c:pt idx="5">
                  <c:v>2023-07</c:v>
                </c:pt>
                <c:pt idx="6">
                  <c:v>2023-08</c:v>
                </c:pt>
                <c:pt idx="7">
                  <c:v>2023-09</c:v>
                </c:pt>
                <c:pt idx="8">
                  <c:v>2023-10</c:v>
                </c:pt>
                <c:pt idx="9">
                  <c:v>2023-11</c:v>
                </c:pt>
                <c:pt idx="10">
                  <c:v>2023-12</c:v>
                </c:pt>
              </c:strCache>
            </c:strRef>
          </c:cat>
          <c:val>
            <c:numRef>
              <c:f>Dashboard!$B$26:$B$37</c:f>
              <c:numCache>
                <c:formatCode>General</c:formatCode>
                <c:ptCount val="12"/>
                <c:pt idx="0">
                  <c:v>37806</c:v>
                </c:pt>
                <c:pt idx="1">
                  <c:v>7068</c:v>
                </c:pt>
                <c:pt idx="2">
                  <c:v>64582</c:v>
                </c:pt>
                <c:pt idx="3">
                  <c:v>4734</c:v>
                </c:pt>
                <c:pt idx="4">
                  <c:v>27348</c:v>
                </c:pt>
                <c:pt idx="5">
                  <c:v>8931</c:v>
                </c:pt>
                <c:pt idx="6">
                  <c:v>69108</c:v>
                </c:pt>
                <c:pt idx="7">
                  <c:v>33369</c:v>
                </c:pt>
                <c:pt idx="8">
                  <c:v>40317</c:v>
                </c:pt>
                <c:pt idx="9">
                  <c:v>17986</c:v>
                </c:pt>
                <c:pt idx="10">
                  <c:v>18004</c:v>
                </c:pt>
                <c:pt idx="11">
                  <c:v>27372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3332992"/>
        <c:axId val="203339264"/>
      </c:lineChart>
      <c:catAx>
        <c:axId val="203332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339264"/>
        <c:crosses val="autoZero"/>
        <c:auto val="1"/>
        <c:lblAlgn val="ctr"/>
        <c:lblOffset val="100"/>
        <c:noMultiLvlLbl val="0"/>
      </c:catAx>
      <c:valAx>
        <c:axId val="203339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332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19050</xdr:rowOff>
    </xdr:from>
    <xdr:to>
      <xdr:col>5</xdr:col>
      <xdr:colOff>752475</xdr:colOff>
      <xdr:row>23</xdr:row>
      <xdr:rowOff>32400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914400</xdr:colOff>
      <xdr:row>12</xdr:row>
      <xdr:rowOff>161924</xdr:rowOff>
    </xdr:from>
    <xdr:to>
      <xdr:col>10</xdr:col>
      <xdr:colOff>495300</xdr:colOff>
      <xdr:row>25</xdr:row>
      <xdr:rowOff>89549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883080</xdr:colOff>
      <xdr:row>38</xdr:row>
      <xdr:rowOff>32040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25"/>
  <sheetViews>
    <sheetView zoomScaleNormal="100" workbookViewId="0">
      <selection activeCell="B20" sqref="B20"/>
    </sheetView>
  </sheetViews>
  <sheetFormatPr defaultColWidth="8.7109375" defaultRowHeight="15" x14ac:dyDescent="0.25"/>
  <cols>
    <col min="1" max="1" width="40" style="1" customWidth="1"/>
    <col min="2" max="2" width="50" style="1" customWidth="1"/>
    <col min="3" max="3" width="15" style="1" customWidth="1"/>
  </cols>
  <sheetData>
    <row r="1" spans="1:3" ht="15" customHeight="1" x14ac:dyDescent="0.3">
      <c r="A1" s="2" t="s">
        <v>0</v>
      </c>
      <c r="B1" s="2"/>
      <c r="C1" s="2"/>
    </row>
    <row r="3" spans="1:3" ht="15" customHeight="1" x14ac:dyDescent="0.25">
      <c r="A3" s="3" t="s">
        <v>1</v>
      </c>
    </row>
    <row r="4" spans="1:3" ht="15" customHeight="1" x14ac:dyDescent="0.25">
      <c r="A4" s="1" t="s">
        <v>2</v>
      </c>
    </row>
    <row r="5" spans="1:3" ht="15" customHeight="1" x14ac:dyDescent="0.25">
      <c r="A5" s="1" t="s">
        <v>3</v>
      </c>
    </row>
    <row r="7" spans="1:3" ht="15" customHeight="1" x14ac:dyDescent="0.25">
      <c r="A7" s="3" t="s">
        <v>4</v>
      </c>
    </row>
    <row r="8" spans="1:3" ht="15" customHeight="1" x14ac:dyDescent="0.25">
      <c r="A8" s="1" t="s">
        <v>5</v>
      </c>
      <c r="B8" s="1" t="s">
        <v>6</v>
      </c>
    </row>
    <row r="9" spans="1:3" ht="15" customHeight="1" x14ac:dyDescent="0.25">
      <c r="A9" s="1" t="s">
        <v>7</v>
      </c>
      <c r="B9" s="1" t="s">
        <v>8</v>
      </c>
    </row>
    <row r="10" spans="1:3" ht="15" customHeight="1" x14ac:dyDescent="0.25">
      <c r="A10" s="1" t="s">
        <v>9</v>
      </c>
      <c r="B10" s="1" t="s">
        <v>10</v>
      </c>
    </row>
    <row r="11" spans="1:3" ht="15" customHeight="1" x14ac:dyDescent="0.25">
      <c r="A11" s="1" t="s">
        <v>11</v>
      </c>
      <c r="B11" s="1" t="s">
        <v>12</v>
      </c>
    </row>
    <row r="12" spans="1:3" ht="15" customHeight="1" x14ac:dyDescent="0.25">
      <c r="A12" s="1" t="s">
        <v>13</v>
      </c>
      <c r="B12" s="1" t="s">
        <v>14</v>
      </c>
    </row>
    <row r="13" spans="1:3" ht="15" customHeight="1" x14ac:dyDescent="0.25">
      <c r="A13" s="1" t="s">
        <v>15</v>
      </c>
      <c r="B13" s="1" t="s">
        <v>16</v>
      </c>
    </row>
    <row r="15" spans="1:3" ht="15" customHeight="1" x14ac:dyDescent="0.25">
      <c r="A15" s="3" t="s">
        <v>17</v>
      </c>
    </row>
    <row r="16" spans="1:3" ht="15" customHeight="1" x14ac:dyDescent="0.25">
      <c r="A16" s="1" t="s">
        <v>18</v>
      </c>
      <c r="C16" s="1" t="s">
        <v>19</v>
      </c>
    </row>
    <row r="17" spans="1:3" ht="15" customHeight="1" x14ac:dyDescent="0.25">
      <c r="A17" s="1" t="s">
        <v>20</v>
      </c>
      <c r="C17" s="1" t="s">
        <v>21</v>
      </c>
    </row>
    <row r="18" spans="1:3" ht="15" customHeight="1" x14ac:dyDescent="0.25">
      <c r="A18" s="1" t="s">
        <v>22</v>
      </c>
      <c r="C18" s="1" t="s">
        <v>23</v>
      </c>
    </row>
    <row r="19" spans="1:3" ht="15" customHeight="1" x14ac:dyDescent="0.25">
      <c r="A19" s="1" t="s">
        <v>24</v>
      </c>
      <c r="C19" s="1" t="s">
        <v>23</v>
      </c>
    </row>
    <row r="20" spans="1:3" ht="15" customHeight="1" x14ac:dyDescent="0.25">
      <c r="A20" s="1" t="s">
        <v>25</v>
      </c>
      <c r="C20" s="1" t="s">
        <v>26</v>
      </c>
    </row>
    <row r="21" spans="1:3" ht="15" customHeight="1" x14ac:dyDescent="0.25">
      <c r="A21" s="1" t="s">
        <v>27</v>
      </c>
      <c r="C21" s="1" t="s">
        <v>28</v>
      </c>
    </row>
    <row r="22" spans="1:3" ht="15" customHeight="1" x14ac:dyDescent="0.25">
      <c r="A22" s="1" t="s">
        <v>29</v>
      </c>
      <c r="C22" s="1" t="s">
        <v>21</v>
      </c>
    </row>
    <row r="24" spans="1:3" ht="15" customHeight="1" x14ac:dyDescent="0.25">
      <c r="A24" s="3" t="s">
        <v>30</v>
      </c>
      <c r="B24" s="1" t="s">
        <v>31</v>
      </c>
    </row>
    <row r="25" spans="1:3" ht="15" customHeight="1" x14ac:dyDescent="0.25">
      <c r="A25" s="3" t="s">
        <v>32</v>
      </c>
      <c r="B25" s="1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O156"/>
  <sheetViews>
    <sheetView topLeftCell="A31" zoomScaleNormal="100" workbookViewId="0">
      <selection activeCell="J5" sqref="J5"/>
    </sheetView>
  </sheetViews>
  <sheetFormatPr defaultColWidth="8.7109375" defaultRowHeight="15" x14ac:dyDescent="0.25"/>
  <cols>
    <col min="1" max="10" width="15" style="1" customWidth="1"/>
    <col min="11" max="15" width="15" customWidth="1"/>
  </cols>
  <sheetData>
    <row r="1" spans="1:15" ht="15" customHeigh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spans="1:15" ht="15" customHeight="1" x14ac:dyDescent="0.25">
      <c r="A2" s="1" t="s">
        <v>49</v>
      </c>
      <c r="B2" s="5">
        <v>45581</v>
      </c>
      <c r="C2" s="1" t="s">
        <v>50</v>
      </c>
      <c r="D2" s="1" t="s">
        <v>51</v>
      </c>
      <c r="E2" s="1" t="s">
        <v>52</v>
      </c>
      <c r="F2" s="1" t="s">
        <v>53</v>
      </c>
      <c r="G2" s="1">
        <v>8</v>
      </c>
      <c r="H2" s="1">
        <v>507</v>
      </c>
      <c r="I2" s="1">
        <v>304</v>
      </c>
      <c r="J2" s="1">
        <v>4056</v>
      </c>
      <c r="K2" s="6">
        <f t="shared" ref="K2:K33" si="0">J2-(G2*I2)</f>
        <v>1624</v>
      </c>
      <c r="L2" s="7">
        <f t="shared" ref="L2:L33" si="1">(K2/J2)*100</f>
        <v>40.039447731755423</v>
      </c>
      <c r="M2" s="8">
        <f t="shared" ref="M2:M33" si="2">YEAR(B2)</f>
        <v>2024</v>
      </c>
      <c r="N2" t="str">
        <f t="shared" ref="N2:N33" si="3">TEXT(B2,"MMMM")</f>
        <v>October</v>
      </c>
      <c r="O2" t="str">
        <f t="shared" ref="O2:O33" si="4">IF(L2&gt;35,"Excellent",IF(L2&gt;25,"Good","Average"))</f>
        <v>Excellent</v>
      </c>
    </row>
    <row r="3" spans="1:15" ht="15" customHeight="1" x14ac:dyDescent="0.25">
      <c r="A3" s="1" t="s">
        <v>54</v>
      </c>
      <c r="B3" s="5">
        <v>45069</v>
      </c>
      <c r="C3" s="1" t="s">
        <v>50</v>
      </c>
      <c r="D3" s="1" t="s">
        <v>51</v>
      </c>
      <c r="E3" s="1" t="s">
        <v>52</v>
      </c>
      <c r="F3" s="1" t="s">
        <v>55</v>
      </c>
      <c r="G3" s="1">
        <v>14</v>
      </c>
      <c r="H3" s="1">
        <v>115</v>
      </c>
      <c r="I3" s="1">
        <v>69</v>
      </c>
      <c r="J3" s="1">
        <v>1610</v>
      </c>
      <c r="K3" s="6">
        <f t="shared" si="0"/>
        <v>644</v>
      </c>
      <c r="L3" s="7">
        <f t="shared" si="1"/>
        <v>40</v>
      </c>
      <c r="M3" s="8">
        <f t="shared" si="2"/>
        <v>2023</v>
      </c>
      <c r="N3" t="str">
        <f t="shared" si="3"/>
        <v>May</v>
      </c>
      <c r="O3" t="str">
        <f t="shared" si="4"/>
        <v>Excellent</v>
      </c>
    </row>
    <row r="4" spans="1:15" ht="15" customHeight="1" x14ac:dyDescent="0.25">
      <c r="A4" s="1" t="s">
        <v>56</v>
      </c>
      <c r="B4" s="5">
        <v>44957</v>
      </c>
      <c r="C4" s="1" t="s">
        <v>50</v>
      </c>
      <c r="D4" s="1" t="s">
        <v>51</v>
      </c>
      <c r="E4" s="1" t="s">
        <v>57</v>
      </c>
      <c r="F4" s="1" t="s">
        <v>58</v>
      </c>
      <c r="G4" s="1">
        <v>17</v>
      </c>
      <c r="H4" s="1">
        <v>1282</v>
      </c>
      <c r="I4" s="1">
        <v>769</v>
      </c>
      <c r="J4" s="1">
        <v>21794</v>
      </c>
      <c r="K4" s="6">
        <f t="shared" si="0"/>
        <v>8721</v>
      </c>
      <c r="L4" s="7">
        <f t="shared" si="1"/>
        <v>40.015600624024962</v>
      </c>
      <c r="M4" s="8">
        <f t="shared" si="2"/>
        <v>2023</v>
      </c>
      <c r="N4" t="str">
        <f t="shared" si="3"/>
        <v>January</v>
      </c>
      <c r="O4" t="str">
        <f t="shared" si="4"/>
        <v>Excellent</v>
      </c>
    </row>
    <row r="5" spans="1:15" ht="15" customHeight="1" x14ac:dyDescent="0.25">
      <c r="A5" s="1" t="s">
        <v>59</v>
      </c>
      <c r="B5" s="5">
        <v>44954</v>
      </c>
      <c r="C5" s="1" t="s">
        <v>60</v>
      </c>
      <c r="D5" s="1" t="s">
        <v>61</v>
      </c>
      <c r="E5" s="1" t="s">
        <v>57</v>
      </c>
      <c r="F5" s="1" t="s">
        <v>55</v>
      </c>
      <c r="G5" s="1">
        <v>14</v>
      </c>
      <c r="H5" s="1">
        <v>132</v>
      </c>
      <c r="I5" s="1">
        <v>79</v>
      </c>
      <c r="J5" s="1">
        <v>1848</v>
      </c>
      <c r="K5" s="6">
        <f t="shared" si="0"/>
        <v>742</v>
      </c>
      <c r="L5" s="7">
        <f t="shared" si="1"/>
        <v>40.151515151515149</v>
      </c>
      <c r="M5" s="8">
        <f t="shared" si="2"/>
        <v>2023</v>
      </c>
      <c r="N5" t="str">
        <f t="shared" si="3"/>
        <v>January</v>
      </c>
      <c r="O5" t="str">
        <f t="shared" si="4"/>
        <v>Excellent</v>
      </c>
    </row>
    <row r="6" spans="1:15" ht="15" customHeight="1" x14ac:dyDescent="0.25">
      <c r="A6" s="1" t="s">
        <v>62</v>
      </c>
      <c r="B6" s="5">
        <v>45386</v>
      </c>
      <c r="C6" s="1" t="s">
        <v>63</v>
      </c>
      <c r="D6" s="1" t="s">
        <v>61</v>
      </c>
      <c r="E6" s="1" t="s">
        <v>64</v>
      </c>
      <c r="F6" s="1" t="s">
        <v>65</v>
      </c>
      <c r="G6" s="1">
        <v>6</v>
      </c>
      <c r="H6" s="1">
        <v>377</v>
      </c>
      <c r="I6" s="1">
        <v>226</v>
      </c>
      <c r="J6" s="1">
        <v>2262</v>
      </c>
      <c r="K6" s="6">
        <f t="shared" si="0"/>
        <v>906</v>
      </c>
      <c r="L6" s="7">
        <f t="shared" si="1"/>
        <v>40.053050397877982</v>
      </c>
      <c r="M6" s="8">
        <f t="shared" si="2"/>
        <v>2024</v>
      </c>
      <c r="N6" t="str">
        <f t="shared" si="3"/>
        <v>April</v>
      </c>
      <c r="O6" t="str">
        <f t="shared" si="4"/>
        <v>Excellent</v>
      </c>
    </row>
    <row r="7" spans="1:15" ht="15" customHeight="1" x14ac:dyDescent="0.25">
      <c r="A7" s="1" t="s">
        <v>66</v>
      </c>
      <c r="B7" s="5">
        <v>45359</v>
      </c>
      <c r="C7" s="1" t="s">
        <v>67</v>
      </c>
      <c r="D7" s="1" t="s">
        <v>61</v>
      </c>
      <c r="E7" s="1" t="s">
        <v>64</v>
      </c>
      <c r="F7" s="1" t="s">
        <v>58</v>
      </c>
      <c r="G7" s="1">
        <v>7</v>
      </c>
      <c r="H7" s="1">
        <v>410</v>
      </c>
      <c r="I7" s="1">
        <v>246</v>
      </c>
      <c r="J7" s="1">
        <v>2870</v>
      </c>
      <c r="K7" s="6">
        <f t="shared" si="0"/>
        <v>1148</v>
      </c>
      <c r="L7" s="7">
        <f t="shared" si="1"/>
        <v>40</v>
      </c>
      <c r="M7" s="8">
        <f t="shared" si="2"/>
        <v>2024</v>
      </c>
      <c r="N7" t="str">
        <f t="shared" si="3"/>
        <v>March</v>
      </c>
      <c r="O7" t="str">
        <f t="shared" si="4"/>
        <v>Excellent</v>
      </c>
    </row>
    <row r="8" spans="1:15" ht="15" customHeight="1" x14ac:dyDescent="0.25">
      <c r="A8" s="1" t="s">
        <v>68</v>
      </c>
      <c r="B8" s="5">
        <v>45271</v>
      </c>
      <c r="C8" s="1" t="s">
        <v>50</v>
      </c>
      <c r="D8" s="1" t="s">
        <v>51</v>
      </c>
      <c r="E8" s="1" t="s">
        <v>52</v>
      </c>
      <c r="F8" s="1" t="s">
        <v>69</v>
      </c>
      <c r="G8" s="1">
        <v>4</v>
      </c>
      <c r="H8" s="1">
        <v>785</v>
      </c>
      <c r="I8" s="1">
        <v>471</v>
      </c>
      <c r="J8" s="1">
        <v>3140</v>
      </c>
      <c r="K8" s="6">
        <f t="shared" si="0"/>
        <v>1256</v>
      </c>
      <c r="L8" s="7">
        <f t="shared" si="1"/>
        <v>40</v>
      </c>
      <c r="M8" s="8">
        <f t="shared" si="2"/>
        <v>2023</v>
      </c>
      <c r="N8" t="str">
        <f t="shared" si="3"/>
        <v>December</v>
      </c>
      <c r="O8" t="str">
        <f t="shared" si="4"/>
        <v>Excellent</v>
      </c>
    </row>
    <row r="9" spans="1:15" ht="15" customHeight="1" x14ac:dyDescent="0.25">
      <c r="A9" s="1" t="s">
        <v>70</v>
      </c>
      <c r="B9" s="5">
        <v>45279</v>
      </c>
      <c r="C9" s="1" t="s">
        <v>63</v>
      </c>
      <c r="D9" s="1" t="s">
        <v>61</v>
      </c>
      <c r="E9" s="1" t="s">
        <v>64</v>
      </c>
      <c r="F9" s="1" t="s">
        <v>65</v>
      </c>
      <c r="G9" s="1">
        <v>15</v>
      </c>
      <c r="H9" s="1">
        <v>294</v>
      </c>
      <c r="I9" s="1">
        <v>176</v>
      </c>
      <c r="J9" s="1">
        <v>4410</v>
      </c>
      <c r="K9" s="6">
        <f t="shared" si="0"/>
        <v>1770</v>
      </c>
      <c r="L9" s="7">
        <f t="shared" si="1"/>
        <v>40.136054421768705</v>
      </c>
      <c r="M9" s="8">
        <f t="shared" si="2"/>
        <v>2023</v>
      </c>
      <c r="N9" t="str">
        <f t="shared" si="3"/>
        <v>December</v>
      </c>
      <c r="O9" t="str">
        <f t="shared" si="4"/>
        <v>Excellent</v>
      </c>
    </row>
    <row r="10" spans="1:15" ht="15" customHeight="1" x14ac:dyDescent="0.25">
      <c r="A10" s="1" t="s">
        <v>71</v>
      </c>
      <c r="B10" s="5">
        <v>45054</v>
      </c>
      <c r="C10" s="1" t="s">
        <v>72</v>
      </c>
      <c r="D10" s="1" t="s">
        <v>73</v>
      </c>
      <c r="E10" s="1" t="s">
        <v>52</v>
      </c>
      <c r="F10" s="1" t="s">
        <v>55</v>
      </c>
      <c r="G10" s="1">
        <v>10</v>
      </c>
      <c r="H10" s="1">
        <v>444</v>
      </c>
      <c r="I10" s="1">
        <v>266</v>
      </c>
      <c r="J10" s="1">
        <v>4440</v>
      </c>
      <c r="K10" s="6">
        <f t="shared" si="0"/>
        <v>1780</v>
      </c>
      <c r="L10" s="7">
        <f t="shared" si="1"/>
        <v>40.090090090090094</v>
      </c>
      <c r="M10" s="8">
        <f t="shared" si="2"/>
        <v>2023</v>
      </c>
      <c r="N10" t="str">
        <f t="shared" si="3"/>
        <v>May</v>
      </c>
      <c r="O10" t="str">
        <f t="shared" si="4"/>
        <v>Excellent</v>
      </c>
    </row>
    <row r="11" spans="1:15" ht="15" customHeight="1" x14ac:dyDescent="0.25">
      <c r="A11" s="1" t="s">
        <v>74</v>
      </c>
      <c r="B11" s="5">
        <v>45570</v>
      </c>
      <c r="C11" s="1" t="s">
        <v>63</v>
      </c>
      <c r="D11" s="1" t="s">
        <v>61</v>
      </c>
      <c r="E11" s="1" t="s">
        <v>64</v>
      </c>
      <c r="F11" s="1" t="s">
        <v>55</v>
      </c>
      <c r="G11" s="1">
        <v>7</v>
      </c>
      <c r="H11" s="1">
        <v>380</v>
      </c>
      <c r="I11" s="1">
        <v>228</v>
      </c>
      <c r="J11" s="1">
        <v>2660</v>
      </c>
      <c r="K11" s="6">
        <f t="shared" si="0"/>
        <v>1064</v>
      </c>
      <c r="L11" s="7">
        <f t="shared" si="1"/>
        <v>40</v>
      </c>
      <c r="M11" s="8">
        <f t="shared" si="2"/>
        <v>2024</v>
      </c>
      <c r="N11" t="str">
        <f t="shared" si="3"/>
        <v>October</v>
      </c>
      <c r="O11" t="str">
        <f t="shared" si="4"/>
        <v>Excellent</v>
      </c>
    </row>
    <row r="12" spans="1:15" ht="15" customHeight="1" x14ac:dyDescent="0.25">
      <c r="A12" s="1" t="s">
        <v>75</v>
      </c>
      <c r="B12" s="5">
        <v>44998</v>
      </c>
      <c r="C12" s="1" t="s">
        <v>76</v>
      </c>
      <c r="D12" s="1" t="s">
        <v>51</v>
      </c>
      <c r="E12" s="1" t="s">
        <v>57</v>
      </c>
      <c r="F12" s="1" t="s">
        <v>53</v>
      </c>
      <c r="G12" s="1">
        <v>3</v>
      </c>
      <c r="H12" s="1">
        <v>1801</v>
      </c>
      <c r="I12" s="1">
        <v>1080</v>
      </c>
      <c r="J12" s="1">
        <v>5403</v>
      </c>
      <c r="K12" s="6">
        <f t="shared" si="0"/>
        <v>2163</v>
      </c>
      <c r="L12" s="7">
        <f t="shared" si="1"/>
        <v>40.033314825097165</v>
      </c>
      <c r="M12" s="8">
        <f t="shared" si="2"/>
        <v>2023</v>
      </c>
      <c r="N12" t="str">
        <f t="shared" si="3"/>
        <v>March</v>
      </c>
      <c r="O12" t="str">
        <f t="shared" si="4"/>
        <v>Excellent</v>
      </c>
    </row>
    <row r="13" spans="1:15" ht="15" customHeight="1" x14ac:dyDescent="0.25">
      <c r="A13" s="1" t="s">
        <v>77</v>
      </c>
      <c r="B13" s="5">
        <v>45165</v>
      </c>
      <c r="C13" s="1" t="s">
        <v>50</v>
      </c>
      <c r="D13" s="1" t="s">
        <v>51</v>
      </c>
      <c r="E13" s="1" t="s">
        <v>78</v>
      </c>
      <c r="F13" s="1" t="s">
        <v>53</v>
      </c>
      <c r="G13" s="1">
        <v>15</v>
      </c>
      <c r="H13" s="1">
        <v>1351</v>
      </c>
      <c r="I13" s="1">
        <v>810</v>
      </c>
      <c r="J13" s="1">
        <v>20265</v>
      </c>
      <c r="K13" s="6">
        <f t="shared" si="0"/>
        <v>8115</v>
      </c>
      <c r="L13" s="7">
        <f t="shared" si="1"/>
        <v>40.044411547002227</v>
      </c>
      <c r="M13" s="8">
        <f t="shared" si="2"/>
        <v>2023</v>
      </c>
      <c r="N13" t="str">
        <f t="shared" si="3"/>
        <v>August</v>
      </c>
      <c r="O13" t="str">
        <f t="shared" si="4"/>
        <v>Excellent</v>
      </c>
    </row>
    <row r="14" spans="1:15" ht="15" customHeight="1" x14ac:dyDescent="0.25">
      <c r="A14" s="1" t="s">
        <v>79</v>
      </c>
      <c r="B14" s="5">
        <v>45300</v>
      </c>
      <c r="C14" s="1" t="s">
        <v>80</v>
      </c>
      <c r="D14" s="1" t="s">
        <v>51</v>
      </c>
      <c r="E14" s="1" t="s">
        <v>64</v>
      </c>
      <c r="F14" s="1" t="s">
        <v>53</v>
      </c>
      <c r="G14" s="1">
        <v>7</v>
      </c>
      <c r="H14" s="1">
        <v>1422</v>
      </c>
      <c r="I14" s="1">
        <v>853</v>
      </c>
      <c r="J14" s="1">
        <v>9954</v>
      </c>
      <c r="K14" s="6">
        <f t="shared" si="0"/>
        <v>3983</v>
      </c>
      <c r="L14" s="7">
        <f t="shared" si="1"/>
        <v>40.014064697609001</v>
      </c>
      <c r="M14" s="8">
        <f t="shared" si="2"/>
        <v>2024</v>
      </c>
      <c r="N14" t="str">
        <f t="shared" si="3"/>
        <v>January</v>
      </c>
      <c r="O14" t="str">
        <f t="shared" si="4"/>
        <v>Excellent</v>
      </c>
    </row>
    <row r="15" spans="1:15" ht="15" customHeight="1" x14ac:dyDescent="0.25">
      <c r="A15" s="1" t="s">
        <v>81</v>
      </c>
      <c r="B15" s="5">
        <v>45200</v>
      </c>
      <c r="C15" s="1" t="s">
        <v>50</v>
      </c>
      <c r="D15" s="1" t="s">
        <v>51</v>
      </c>
      <c r="E15" s="1" t="s">
        <v>57</v>
      </c>
      <c r="F15" s="1" t="s">
        <v>55</v>
      </c>
      <c r="G15" s="1">
        <v>8</v>
      </c>
      <c r="H15" s="1">
        <v>384</v>
      </c>
      <c r="I15" s="1">
        <v>230</v>
      </c>
      <c r="J15" s="1">
        <v>3072</v>
      </c>
      <c r="K15" s="6">
        <f t="shared" si="0"/>
        <v>1232</v>
      </c>
      <c r="L15" s="7">
        <f t="shared" si="1"/>
        <v>40.104166666666671</v>
      </c>
      <c r="M15" s="8">
        <f t="shared" si="2"/>
        <v>2023</v>
      </c>
      <c r="N15" t="str">
        <f t="shared" si="3"/>
        <v>October</v>
      </c>
      <c r="O15" t="str">
        <f t="shared" si="4"/>
        <v>Excellent</v>
      </c>
    </row>
    <row r="16" spans="1:15" ht="15" customHeight="1" x14ac:dyDescent="0.25">
      <c r="A16" s="1" t="s">
        <v>82</v>
      </c>
      <c r="B16" s="5">
        <v>45400</v>
      </c>
      <c r="C16" s="1" t="s">
        <v>72</v>
      </c>
      <c r="D16" s="1" t="s">
        <v>73</v>
      </c>
      <c r="E16" s="1" t="s">
        <v>64</v>
      </c>
      <c r="F16" s="1" t="s">
        <v>55</v>
      </c>
      <c r="G16" s="1">
        <v>8</v>
      </c>
      <c r="H16" s="1">
        <v>370</v>
      </c>
      <c r="I16" s="1">
        <v>222</v>
      </c>
      <c r="J16" s="1">
        <v>2960</v>
      </c>
      <c r="K16" s="6">
        <f t="shared" si="0"/>
        <v>1184</v>
      </c>
      <c r="L16" s="7">
        <f t="shared" si="1"/>
        <v>40</v>
      </c>
      <c r="M16" s="8">
        <f t="shared" si="2"/>
        <v>2024</v>
      </c>
      <c r="N16" t="str">
        <f t="shared" si="3"/>
        <v>April</v>
      </c>
      <c r="O16" t="str">
        <f t="shared" si="4"/>
        <v>Excellent</v>
      </c>
    </row>
    <row r="17" spans="1:15" ht="15" customHeight="1" x14ac:dyDescent="0.25">
      <c r="A17" s="1" t="s">
        <v>83</v>
      </c>
      <c r="B17" s="5">
        <v>45259</v>
      </c>
      <c r="C17" s="1" t="s">
        <v>76</v>
      </c>
      <c r="D17" s="1" t="s">
        <v>51</v>
      </c>
      <c r="E17" s="1" t="s">
        <v>57</v>
      </c>
      <c r="F17" s="1" t="s">
        <v>65</v>
      </c>
      <c r="G17" s="1">
        <v>11</v>
      </c>
      <c r="H17" s="1">
        <v>871</v>
      </c>
      <c r="I17" s="1">
        <v>522</v>
      </c>
      <c r="J17" s="1">
        <v>9581</v>
      </c>
      <c r="K17" s="6">
        <f t="shared" si="0"/>
        <v>3839</v>
      </c>
      <c r="L17" s="7">
        <f t="shared" si="1"/>
        <v>40.068886337543056</v>
      </c>
      <c r="M17" s="8">
        <f t="shared" si="2"/>
        <v>2023</v>
      </c>
      <c r="N17" t="str">
        <f t="shared" si="3"/>
        <v>November</v>
      </c>
      <c r="O17" t="str">
        <f t="shared" si="4"/>
        <v>Excellent</v>
      </c>
    </row>
    <row r="18" spans="1:15" ht="15" customHeight="1" x14ac:dyDescent="0.25">
      <c r="A18" s="1" t="s">
        <v>84</v>
      </c>
      <c r="B18" s="5">
        <v>45201</v>
      </c>
      <c r="C18" s="1" t="s">
        <v>50</v>
      </c>
      <c r="D18" s="1" t="s">
        <v>51</v>
      </c>
      <c r="E18" s="1" t="s">
        <v>57</v>
      </c>
      <c r="F18" s="1" t="s">
        <v>55</v>
      </c>
      <c r="G18" s="1">
        <v>11</v>
      </c>
      <c r="H18" s="1">
        <v>485</v>
      </c>
      <c r="I18" s="1">
        <v>291</v>
      </c>
      <c r="J18" s="1">
        <v>5335</v>
      </c>
      <c r="K18" s="6">
        <f t="shared" si="0"/>
        <v>2134</v>
      </c>
      <c r="L18" s="7">
        <f t="shared" si="1"/>
        <v>40</v>
      </c>
      <c r="M18" s="8">
        <f t="shared" si="2"/>
        <v>2023</v>
      </c>
      <c r="N18" t="str">
        <f t="shared" si="3"/>
        <v>October</v>
      </c>
      <c r="O18" t="str">
        <f t="shared" si="4"/>
        <v>Excellent</v>
      </c>
    </row>
    <row r="19" spans="1:15" ht="15" customHeight="1" x14ac:dyDescent="0.25">
      <c r="A19" s="1" t="s">
        <v>85</v>
      </c>
      <c r="B19" s="5">
        <v>45598</v>
      </c>
      <c r="C19" s="1" t="s">
        <v>86</v>
      </c>
      <c r="D19" s="1" t="s">
        <v>73</v>
      </c>
      <c r="E19" s="1" t="s">
        <v>78</v>
      </c>
      <c r="F19" s="1" t="s">
        <v>69</v>
      </c>
      <c r="G19" s="1">
        <v>5</v>
      </c>
      <c r="H19" s="1">
        <v>155</v>
      </c>
      <c r="I19" s="1">
        <v>93</v>
      </c>
      <c r="J19" s="1">
        <v>775</v>
      </c>
      <c r="K19" s="6">
        <f t="shared" si="0"/>
        <v>310</v>
      </c>
      <c r="L19" s="7">
        <f t="shared" si="1"/>
        <v>40</v>
      </c>
      <c r="M19" s="8">
        <f t="shared" si="2"/>
        <v>2024</v>
      </c>
      <c r="N19" t="str">
        <f t="shared" si="3"/>
        <v>November</v>
      </c>
      <c r="O19" t="str">
        <f t="shared" si="4"/>
        <v>Excellent</v>
      </c>
    </row>
    <row r="20" spans="1:15" ht="15" customHeight="1" x14ac:dyDescent="0.25">
      <c r="A20" s="1" t="s">
        <v>87</v>
      </c>
      <c r="B20" s="5">
        <v>45069</v>
      </c>
      <c r="C20" s="1" t="s">
        <v>88</v>
      </c>
      <c r="D20" s="1" t="s">
        <v>61</v>
      </c>
      <c r="E20" s="1" t="s">
        <v>64</v>
      </c>
      <c r="F20" s="1" t="s">
        <v>55</v>
      </c>
      <c r="G20" s="1">
        <v>14</v>
      </c>
      <c r="H20" s="1">
        <v>479</v>
      </c>
      <c r="I20" s="1">
        <v>287</v>
      </c>
      <c r="J20" s="1">
        <v>6706</v>
      </c>
      <c r="K20" s="6">
        <f t="shared" si="0"/>
        <v>2688</v>
      </c>
      <c r="L20" s="7">
        <f t="shared" si="1"/>
        <v>40.083507306889352</v>
      </c>
      <c r="M20" s="8">
        <f t="shared" si="2"/>
        <v>2023</v>
      </c>
      <c r="N20" t="str">
        <f t="shared" si="3"/>
        <v>May</v>
      </c>
      <c r="O20" t="str">
        <f t="shared" si="4"/>
        <v>Excellent</v>
      </c>
    </row>
    <row r="21" spans="1:15" ht="15" customHeight="1" x14ac:dyDescent="0.25">
      <c r="A21" s="1" t="s">
        <v>89</v>
      </c>
      <c r="B21" s="5">
        <v>45524</v>
      </c>
      <c r="C21" s="1" t="s">
        <v>72</v>
      </c>
      <c r="D21" s="1" t="s">
        <v>73</v>
      </c>
      <c r="E21" s="1" t="s">
        <v>64</v>
      </c>
      <c r="F21" s="1" t="s">
        <v>58</v>
      </c>
      <c r="G21" s="1">
        <v>5</v>
      </c>
      <c r="H21" s="1">
        <v>280</v>
      </c>
      <c r="I21" s="1">
        <v>168</v>
      </c>
      <c r="J21" s="1">
        <v>1400</v>
      </c>
      <c r="K21" s="6">
        <f t="shared" si="0"/>
        <v>560</v>
      </c>
      <c r="L21" s="7">
        <f t="shared" si="1"/>
        <v>40</v>
      </c>
      <c r="M21" s="8">
        <f t="shared" si="2"/>
        <v>2024</v>
      </c>
      <c r="N21" t="str">
        <f t="shared" si="3"/>
        <v>August</v>
      </c>
      <c r="O21" t="str">
        <f t="shared" si="4"/>
        <v>Excellent</v>
      </c>
    </row>
    <row r="22" spans="1:15" ht="15" customHeight="1" x14ac:dyDescent="0.25">
      <c r="A22" s="1" t="s">
        <v>90</v>
      </c>
      <c r="B22" s="5">
        <v>45432</v>
      </c>
      <c r="C22" s="1" t="s">
        <v>50</v>
      </c>
      <c r="D22" s="1" t="s">
        <v>51</v>
      </c>
      <c r="E22" s="1" t="s">
        <v>52</v>
      </c>
      <c r="F22" s="1" t="s">
        <v>65</v>
      </c>
      <c r="G22" s="1">
        <v>5</v>
      </c>
      <c r="H22" s="1">
        <v>1335</v>
      </c>
      <c r="I22" s="1">
        <v>801</v>
      </c>
      <c r="J22" s="1">
        <v>6675</v>
      </c>
      <c r="K22" s="6">
        <f t="shared" si="0"/>
        <v>2670</v>
      </c>
      <c r="L22" s="7">
        <f t="shared" si="1"/>
        <v>40</v>
      </c>
      <c r="M22" s="8">
        <f t="shared" si="2"/>
        <v>2024</v>
      </c>
      <c r="N22" t="str">
        <f t="shared" si="3"/>
        <v>May</v>
      </c>
      <c r="O22" t="str">
        <f t="shared" si="4"/>
        <v>Excellent</v>
      </c>
    </row>
    <row r="23" spans="1:15" ht="15" customHeight="1" x14ac:dyDescent="0.25">
      <c r="A23" s="1" t="s">
        <v>91</v>
      </c>
      <c r="B23" s="5">
        <v>45090</v>
      </c>
      <c r="C23" s="1" t="s">
        <v>72</v>
      </c>
      <c r="D23" s="1" t="s">
        <v>73</v>
      </c>
      <c r="E23" s="1" t="s">
        <v>52</v>
      </c>
      <c r="F23" s="1" t="s">
        <v>69</v>
      </c>
      <c r="G23" s="1">
        <v>13</v>
      </c>
      <c r="H23" s="1">
        <v>325</v>
      </c>
      <c r="I23" s="1">
        <v>195</v>
      </c>
      <c r="J23" s="1">
        <v>4225</v>
      </c>
      <c r="K23" s="6">
        <f t="shared" si="0"/>
        <v>1690</v>
      </c>
      <c r="L23" s="7">
        <f t="shared" si="1"/>
        <v>40</v>
      </c>
      <c r="M23" s="8">
        <f t="shared" si="2"/>
        <v>2023</v>
      </c>
      <c r="N23" t="str">
        <f t="shared" si="3"/>
        <v>June</v>
      </c>
      <c r="O23" t="str">
        <f t="shared" si="4"/>
        <v>Excellent</v>
      </c>
    </row>
    <row r="24" spans="1:15" ht="15" customHeight="1" x14ac:dyDescent="0.25">
      <c r="A24" s="1" t="s">
        <v>92</v>
      </c>
      <c r="B24" s="5">
        <v>45406</v>
      </c>
      <c r="C24" s="1" t="s">
        <v>60</v>
      </c>
      <c r="D24" s="1" t="s">
        <v>61</v>
      </c>
      <c r="E24" s="1" t="s">
        <v>64</v>
      </c>
      <c r="F24" s="1" t="s">
        <v>55</v>
      </c>
      <c r="G24" s="1">
        <v>1</v>
      </c>
      <c r="H24" s="1">
        <v>368</v>
      </c>
      <c r="I24" s="1">
        <v>220</v>
      </c>
      <c r="J24" s="1">
        <v>368</v>
      </c>
      <c r="K24" s="6">
        <f t="shared" si="0"/>
        <v>148</v>
      </c>
      <c r="L24" s="7">
        <f t="shared" si="1"/>
        <v>40.217391304347828</v>
      </c>
      <c r="M24" s="8">
        <f t="shared" si="2"/>
        <v>2024</v>
      </c>
      <c r="N24" t="str">
        <f t="shared" si="3"/>
        <v>April</v>
      </c>
      <c r="O24" t="str">
        <f t="shared" si="4"/>
        <v>Excellent</v>
      </c>
    </row>
    <row r="25" spans="1:15" ht="15" customHeight="1" x14ac:dyDescent="0.25">
      <c r="A25" s="1" t="s">
        <v>93</v>
      </c>
      <c r="B25" s="5">
        <v>45044</v>
      </c>
      <c r="C25" s="1" t="s">
        <v>60</v>
      </c>
      <c r="D25" s="1" t="s">
        <v>61</v>
      </c>
      <c r="E25" s="1" t="s">
        <v>64</v>
      </c>
      <c r="F25" s="1" t="s">
        <v>53</v>
      </c>
      <c r="G25" s="1">
        <v>4</v>
      </c>
      <c r="H25" s="1">
        <v>170</v>
      </c>
      <c r="I25" s="1">
        <v>102</v>
      </c>
      <c r="J25" s="1">
        <v>680</v>
      </c>
      <c r="K25" s="6">
        <f t="shared" si="0"/>
        <v>272</v>
      </c>
      <c r="L25" s="7">
        <f t="shared" si="1"/>
        <v>40</v>
      </c>
      <c r="M25" s="8">
        <f t="shared" si="2"/>
        <v>2023</v>
      </c>
      <c r="N25" t="str">
        <f t="shared" si="3"/>
        <v>April</v>
      </c>
      <c r="O25" t="str">
        <f t="shared" si="4"/>
        <v>Excellent</v>
      </c>
    </row>
    <row r="26" spans="1:15" ht="15" customHeight="1" x14ac:dyDescent="0.25">
      <c r="A26" s="1" t="s">
        <v>94</v>
      </c>
      <c r="B26" s="5">
        <v>45372</v>
      </c>
      <c r="C26" s="1" t="s">
        <v>80</v>
      </c>
      <c r="D26" s="1" t="s">
        <v>51</v>
      </c>
      <c r="E26" s="1" t="s">
        <v>78</v>
      </c>
      <c r="F26" s="1" t="s">
        <v>65</v>
      </c>
      <c r="G26" s="1">
        <v>9</v>
      </c>
      <c r="H26" s="1">
        <v>1075</v>
      </c>
      <c r="I26" s="1">
        <v>645</v>
      </c>
      <c r="J26" s="1">
        <v>9675</v>
      </c>
      <c r="K26" s="6">
        <f t="shared" si="0"/>
        <v>3870</v>
      </c>
      <c r="L26" s="7">
        <f t="shared" si="1"/>
        <v>40</v>
      </c>
      <c r="M26" s="8">
        <f t="shared" si="2"/>
        <v>2024</v>
      </c>
      <c r="N26" t="str">
        <f t="shared" si="3"/>
        <v>March</v>
      </c>
      <c r="O26" t="str">
        <f t="shared" si="4"/>
        <v>Excellent</v>
      </c>
    </row>
    <row r="27" spans="1:15" ht="15" customHeight="1" x14ac:dyDescent="0.25">
      <c r="A27" s="1" t="s">
        <v>95</v>
      </c>
      <c r="B27" s="5">
        <v>45109</v>
      </c>
      <c r="C27" s="1" t="s">
        <v>60</v>
      </c>
      <c r="D27" s="1" t="s">
        <v>61</v>
      </c>
      <c r="E27" s="1" t="s">
        <v>52</v>
      </c>
      <c r="F27" s="1" t="s">
        <v>53</v>
      </c>
      <c r="G27" s="1">
        <v>17</v>
      </c>
      <c r="H27" s="1">
        <v>331</v>
      </c>
      <c r="I27" s="1">
        <v>198</v>
      </c>
      <c r="J27" s="1">
        <v>5627</v>
      </c>
      <c r="K27" s="6">
        <f t="shared" si="0"/>
        <v>2261</v>
      </c>
      <c r="L27" s="7">
        <f t="shared" si="1"/>
        <v>40.181268882175225</v>
      </c>
      <c r="M27" s="8">
        <f t="shared" si="2"/>
        <v>2023</v>
      </c>
      <c r="N27" t="str">
        <f t="shared" si="3"/>
        <v>July</v>
      </c>
      <c r="O27" t="str">
        <f t="shared" si="4"/>
        <v>Excellent</v>
      </c>
    </row>
    <row r="28" spans="1:15" ht="15" customHeight="1" x14ac:dyDescent="0.25">
      <c r="A28" s="1" t="s">
        <v>96</v>
      </c>
      <c r="B28" s="5">
        <v>45130</v>
      </c>
      <c r="C28" s="1" t="s">
        <v>80</v>
      </c>
      <c r="D28" s="1" t="s">
        <v>51</v>
      </c>
      <c r="E28" s="1" t="s">
        <v>64</v>
      </c>
      <c r="F28" s="1" t="s">
        <v>58</v>
      </c>
      <c r="G28" s="1">
        <v>18</v>
      </c>
      <c r="H28" s="1">
        <v>1644</v>
      </c>
      <c r="I28" s="1">
        <v>986</v>
      </c>
      <c r="J28" s="1">
        <v>29592</v>
      </c>
      <c r="K28" s="6">
        <f t="shared" si="0"/>
        <v>11844</v>
      </c>
      <c r="L28" s="7">
        <f t="shared" si="1"/>
        <v>40.024330900243314</v>
      </c>
      <c r="M28" s="8">
        <f t="shared" si="2"/>
        <v>2023</v>
      </c>
      <c r="N28" t="str">
        <f t="shared" si="3"/>
        <v>July</v>
      </c>
      <c r="O28" t="str">
        <f t="shared" si="4"/>
        <v>Excellent</v>
      </c>
    </row>
    <row r="29" spans="1:15" ht="15" customHeight="1" x14ac:dyDescent="0.25">
      <c r="A29" s="1" t="s">
        <v>97</v>
      </c>
      <c r="B29" s="5">
        <v>45470</v>
      </c>
      <c r="C29" s="1" t="s">
        <v>76</v>
      </c>
      <c r="D29" s="1" t="s">
        <v>51</v>
      </c>
      <c r="E29" s="1" t="s">
        <v>64</v>
      </c>
      <c r="F29" s="1" t="s">
        <v>69</v>
      </c>
      <c r="G29" s="1">
        <v>1</v>
      </c>
      <c r="H29" s="1">
        <v>279</v>
      </c>
      <c r="I29" s="1">
        <v>167</v>
      </c>
      <c r="J29" s="1">
        <v>279</v>
      </c>
      <c r="K29" s="6">
        <f t="shared" si="0"/>
        <v>112</v>
      </c>
      <c r="L29" s="7">
        <f t="shared" si="1"/>
        <v>40.143369175627242</v>
      </c>
      <c r="M29" s="8">
        <f t="shared" si="2"/>
        <v>2024</v>
      </c>
      <c r="N29" t="str">
        <f t="shared" si="3"/>
        <v>June</v>
      </c>
      <c r="O29" t="str">
        <f t="shared" si="4"/>
        <v>Excellent</v>
      </c>
    </row>
    <row r="30" spans="1:15" ht="15" customHeight="1" x14ac:dyDescent="0.25">
      <c r="A30" s="1" t="s">
        <v>98</v>
      </c>
      <c r="B30" s="5">
        <v>45298</v>
      </c>
      <c r="C30" s="1" t="s">
        <v>99</v>
      </c>
      <c r="D30" s="1" t="s">
        <v>61</v>
      </c>
      <c r="E30" s="1" t="s">
        <v>57</v>
      </c>
      <c r="F30" s="1" t="s">
        <v>65</v>
      </c>
      <c r="G30" s="1">
        <v>8</v>
      </c>
      <c r="H30" s="1">
        <v>469</v>
      </c>
      <c r="I30" s="1">
        <v>281</v>
      </c>
      <c r="J30" s="1">
        <v>3752</v>
      </c>
      <c r="K30" s="6">
        <f t="shared" si="0"/>
        <v>1504</v>
      </c>
      <c r="L30" s="7">
        <f t="shared" si="1"/>
        <v>40.085287846481876</v>
      </c>
      <c r="M30" s="8">
        <f t="shared" si="2"/>
        <v>2024</v>
      </c>
      <c r="N30" t="str">
        <f t="shared" si="3"/>
        <v>January</v>
      </c>
      <c r="O30" t="str">
        <f t="shared" si="4"/>
        <v>Excellent</v>
      </c>
    </row>
    <row r="31" spans="1:15" ht="15" customHeight="1" x14ac:dyDescent="0.25">
      <c r="A31" s="1" t="s">
        <v>100</v>
      </c>
      <c r="B31" s="5">
        <v>45507</v>
      </c>
      <c r="C31" s="1" t="s">
        <v>50</v>
      </c>
      <c r="D31" s="1" t="s">
        <v>51</v>
      </c>
      <c r="E31" s="1" t="s">
        <v>52</v>
      </c>
      <c r="F31" s="1" t="s">
        <v>69</v>
      </c>
      <c r="G31" s="1">
        <v>3</v>
      </c>
      <c r="H31" s="1">
        <v>1607</v>
      </c>
      <c r="I31" s="1">
        <v>964</v>
      </c>
      <c r="J31" s="1">
        <v>4821</v>
      </c>
      <c r="K31" s="6">
        <f t="shared" si="0"/>
        <v>1929</v>
      </c>
      <c r="L31" s="7">
        <f t="shared" si="1"/>
        <v>40.012445550715618</v>
      </c>
      <c r="M31" s="8">
        <f t="shared" si="2"/>
        <v>2024</v>
      </c>
      <c r="N31" t="str">
        <f t="shared" si="3"/>
        <v>August</v>
      </c>
      <c r="O31" t="str">
        <f t="shared" si="4"/>
        <v>Excellent</v>
      </c>
    </row>
    <row r="32" spans="1:15" ht="15" customHeight="1" x14ac:dyDescent="0.25">
      <c r="A32" s="1" t="s">
        <v>101</v>
      </c>
      <c r="B32" s="5">
        <v>45472</v>
      </c>
      <c r="C32" s="1" t="s">
        <v>80</v>
      </c>
      <c r="D32" s="1" t="s">
        <v>51</v>
      </c>
      <c r="E32" s="1" t="s">
        <v>57</v>
      </c>
      <c r="F32" s="1" t="s">
        <v>69</v>
      </c>
      <c r="G32" s="1">
        <v>18</v>
      </c>
      <c r="H32" s="1">
        <v>388</v>
      </c>
      <c r="I32" s="1">
        <v>232</v>
      </c>
      <c r="J32" s="1">
        <v>6984</v>
      </c>
      <c r="K32" s="6">
        <f t="shared" si="0"/>
        <v>2808</v>
      </c>
      <c r="L32" s="7">
        <f t="shared" si="1"/>
        <v>40.206185567010309</v>
      </c>
      <c r="M32" s="8">
        <f t="shared" si="2"/>
        <v>2024</v>
      </c>
      <c r="N32" t="str">
        <f t="shared" si="3"/>
        <v>June</v>
      </c>
      <c r="O32" t="str">
        <f t="shared" si="4"/>
        <v>Excellent</v>
      </c>
    </row>
    <row r="33" spans="1:15" ht="15" customHeight="1" x14ac:dyDescent="0.25">
      <c r="A33" s="1" t="s">
        <v>102</v>
      </c>
      <c r="B33" s="5">
        <v>45198</v>
      </c>
      <c r="C33" s="1" t="s">
        <v>60</v>
      </c>
      <c r="D33" s="1" t="s">
        <v>61</v>
      </c>
      <c r="E33" s="1" t="s">
        <v>78</v>
      </c>
      <c r="F33" s="1" t="s">
        <v>58</v>
      </c>
      <c r="G33" s="1">
        <v>18</v>
      </c>
      <c r="H33" s="1">
        <v>406</v>
      </c>
      <c r="I33" s="1">
        <v>243</v>
      </c>
      <c r="J33" s="1">
        <v>7308</v>
      </c>
      <c r="K33" s="6">
        <f t="shared" si="0"/>
        <v>2934</v>
      </c>
      <c r="L33" s="7">
        <f t="shared" si="1"/>
        <v>40.14778325123153</v>
      </c>
      <c r="M33" s="8">
        <f t="shared" si="2"/>
        <v>2023</v>
      </c>
      <c r="N33" t="str">
        <f t="shared" si="3"/>
        <v>September</v>
      </c>
      <c r="O33" t="str">
        <f t="shared" si="4"/>
        <v>Excellent</v>
      </c>
    </row>
    <row r="34" spans="1:15" ht="15" customHeight="1" x14ac:dyDescent="0.25">
      <c r="A34" s="1" t="s">
        <v>103</v>
      </c>
      <c r="B34" s="5">
        <v>45633</v>
      </c>
      <c r="C34" s="1" t="s">
        <v>88</v>
      </c>
      <c r="D34" s="1" t="s">
        <v>61</v>
      </c>
      <c r="E34" s="1" t="s">
        <v>64</v>
      </c>
      <c r="F34" s="1" t="s">
        <v>69</v>
      </c>
      <c r="G34" s="1">
        <v>12</v>
      </c>
      <c r="H34" s="1">
        <v>244</v>
      </c>
      <c r="I34" s="1">
        <v>146</v>
      </c>
      <c r="J34" s="1">
        <v>2928</v>
      </c>
      <c r="K34" s="6">
        <f t="shared" ref="K34:K65" si="5">J34-(G34*I34)</f>
        <v>1176</v>
      </c>
      <c r="L34" s="7">
        <f t="shared" ref="L34:L65" si="6">(K34/J34)*100</f>
        <v>40.16393442622951</v>
      </c>
      <c r="M34" s="8">
        <f t="shared" ref="M34:M65" si="7">YEAR(B34)</f>
        <v>2024</v>
      </c>
      <c r="N34" t="str">
        <f t="shared" ref="N34:N65" si="8">TEXT(B34,"MMMM")</f>
        <v>December</v>
      </c>
      <c r="O34" t="str">
        <f t="shared" ref="O34:O65" si="9">IF(L34&gt;35,"Excellent",IF(L34&gt;25,"Good","Average"))</f>
        <v>Excellent</v>
      </c>
    </row>
    <row r="35" spans="1:15" ht="15" customHeight="1" x14ac:dyDescent="0.25">
      <c r="A35" s="1" t="s">
        <v>104</v>
      </c>
      <c r="B35" s="5">
        <v>45456</v>
      </c>
      <c r="C35" s="1" t="s">
        <v>86</v>
      </c>
      <c r="D35" s="1" t="s">
        <v>73</v>
      </c>
      <c r="E35" s="1" t="s">
        <v>52</v>
      </c>
      <c r="F35" s="1" t="s">
        <v>58</v>
      </c>
      <c r="G35" s="1">
        <v>8</v>
      </c>
      <c r="H35" s="1">
        <v>52</v>
      </c>
      <c r="I35" s="1">
        <v>31</v>
      </c>
      <c r="J35" s="1">
        <v>416</v>
      </c>
      <c r="K35" s="6">
        <f t="shared" si="5"/>
        <v>168</v>
      </c>
      <c r="L35" s="7">
        <f t="shared" si="6"/>
        <v>40.384615384615387</v>
      </c>
      <c r="M35" s="8">
        <f t="shared" si="7"/>
        <v>2024</v>
      </c>
      <c r="N35" t="str">
        <f t="shared" si="8"/>
        <v>June</v>
      </c>
      <c r="O35" t="str">
        <f t="shared" si="9"/>
        <v>Excellent</v>
      </c>
    </row>
    <row r="36" spans="1:15" ht="15" customHeight="1" x14ac:dyDescent="0.25">
      <c r="A36" s="1" t="s">
        <v>105</v>
      </c>
      <c r="B36" s="5">
        <v>45273</v>
      </c>
      <c r="C36" s="1" t="s">
        <v>76</v>
      </c>
      <c r="D36" s="1" t="s">
        <v>51</v>
      </c>
      <c r="E36" s="1" t="s">
        <v>57</v>
      </c>
      <c r="F36" s="1" t="s">
        <v>55</v>
      </c>
      <c r="G36" s="1">
        <v>8</v>
      </c>
      <c r="H36" s="1">
        <v>64</v>
      </c>
      <c r="I36" s="1">
        <v>38</v>
      </c>
      <c r="J36" s="1">
        <v>512</v>
      </c>
      <c r="K36" s="6">
        <f t="shared" si="5"/>
        <v>208</v>
      </c>
      <c r="L36" s="7">
        <f t="shared" si="6"/>
        <v>40.625</v>
      </c>
      <c r="M36" s="8">
        <f t="shared" si="7"/>
        <v>2023</v>
      </c>
      <c r="N36" t="str">
        <f t="shared" si="8"/>
        <v>December</v>
      </c>
      <c r="O36" t="str">
        <f t="shared" si="9"/>
        <v>Excellent</v>
      </c>
    </row>
    <row r="37" spans="1:15" ht="15" customHeight="1" x14ac:dyDescent="0.25">
      <c r="A37" s="1" t="s">
        <v>106</v>
      </c>
      <c r="B37" s="5">
        <v>44999</v>
      </c>
      <c r="C37" s="1" t="s">
        <v>76</v>
      </c>
      <c r="D37" s="1" t="s">
        <v>51</v>
      </c>
      <c r="E37" s="1" t="s">
        <v>57</v>
      </c>
      <c r="F37" s="1" t="s">
        <v>65</v>
      </c>
      <c r="G37" s="1">
        <v>2</v>
      </c>
      <c r="H37" s="1">
        <v>1810</v>
      </c>
      <c r="I37" s="1">
        <v>1086</v>
      </c>
      <c r="J37" s="1">
        <v>3620</v>
      </c>
      <c r="K37" s="6">
        <f t="shared" si="5"/>
        <v>1448</v>
      </c>
      <c r="L37" s="7">
        <f t="shared" si="6"/>
        <v>40</v>
      </c>
      <c r="M37" s="8">
        <f t="shared" si="7"/>
        <v>2023</v>
      </c>
      <c r="N37" t="str">
        <f t="shared" si="8"/>
        <v>March</v>
      </c>
      <c r="O37" t="str">
        <f t="shared" si="9"/>
        <v>Excellent</v>
      </c>
    </row>
    <row r="38" spans="1:15" ht="15" customHeight="1" x14ac:dyDescent="0.25">
      <c r="A38" s="1" t="s">
        <v>107</v>
      </c>
      <c r="B38" s="5">
        <v>45265</v>
      </c>
      <c r="C38" s="1" t="s">
        <v>50</v>
      </c>
      <c r="D38" s="1" t="s">
        <v>51</v>
      </c>
      <c r="E38" s="1" t="s">
        <v>57</v>
      </c>
      <c r="F38" s="1" t="s">
        <v>53</v>
      </c>
      <c r="G38" s="1">
        <v>16</v>
      </c>
      <c r="H38" s="1">
        <v>488</v>
      </c>
      <c r="I38" s="1">
        <v>292</v>
      </c>
      <c r="J38" s="1">
        <v>7808</v>
      </c>
      <c r="K38" s="6">
        <f t="shared" si="5"/>
        <v>3136</v>
      </c>
      <c r="L38" s="7">
        <f t="shared" si="6"/>
        <v>40.16393442622951</v>
      </c>
      <c r="M38" s="8">
        <f t="shared" si="7"/>
        <v>2023</v>
      </c>
      <c r="N38" t="str">
        <f t="shared" si="8"/>
        <v>December</v>
      </c>
      <c r="O38" t="str">
        <f t="shared" si="9"/>
        <v>Excellent</v>
      </c>
    </row>
    <row r="39" spans="1:15" ht="15" customHeight="1" x14ac:dyDescent="0.25">
      <c r="A39" s="1" t="s">
        <v>108</v>
      </c>
      <c r="B39" s="5">
        <v>45479</v>
      </c>
      <c r="C39" s="1" t="s">
        <v>80</v>
      </c>
      <c r="D39" s="1" t="s">
        <v>51</v>
      </c>
      <c r="E39" s="1" t="s">
        <v>78</v>
      </c>
      <c r="F39" s="1" t="s">
        <v>58</v>
      </c>
      <c r="G39" s="1">
        <v>16</v>
      </c>
      <c r="H39" s="1">
        <v>1703</v>
      </c>
      <c r="I39" s="1">
        <v>1021</v>
      </c>
      <c r="J39" s="1">
        <v>27248</v>
      </c>
      <c r="K39" s="6">
        <f t="shared" si="5"/>
        <v>10912</v>
      </c>
      <c r="L39" s="7">
        <f t="shared" si="6"/>
        <v>40.04697592483852</v>
      </c>
      <c r="M39" s="8">
        <f t="shared" si="7"/>
        <v>2024</v>
      </c>
      <c r="N39" t="str">
        <f t="shared" si="8"/>
        <v>July</v>
      </c>
      <c r="O39" t="str">
        <f t="shared" si="9"/>
        <v>Excellent</v>
      </c>
    </row>
    <row r="40" spans="1:15" ht="15" customHeight="1" x14ac:dyDescent="0.25">
      <c r="A40" s="1" t="s">
        <v>109</v>
      </c>
      <c r="B40" s="5">
        <v>45343</v>
      </c>
      <c r="C40" s="1" t="s">
        <v>88</v>
      </c>
      <c r="D40" s="1" t="s">
        <v>61</v>
      </c>
      <c r="E40" s="1" t="s">
        <v>52</v>
      </c>
      <c r="F40" s="1" t="s">
        <v>65</v>
      </c>
      <c r="G40" s="1">
        <v>14</v>
      </c>
      <c r="H40" s="1">
        <v>201</v>
      </c>
      <c r="I40" s="1">
        <v>120</v>
      </c>
      <c r="J40" s="1">
        <v>2814</v>
      </c>
      <c r="K40" s="6">
        <f t="shared" si="5"/>
        <v>1134</v>
      </c>
      <c r="L40" s="7">
        <f t="shared" si="6"/>
        <v>40.298507462686565</v>
      </c>
      <c r="M40" s="8">
        <f t="shared" si="7"/>
        <v>2024</v>
      </c>
      <c r="N40" t="str">
        <f t="shared" si="8"/>
        <v>February</v>
      </c>
      <c r="O40" t="str">
        <f t="shared" si="9"/>
        <v>Excellent</v>
      </c>
    </row>
    <row r="41" spans="1:15" ht="15" customHeight="1" x14ac:dyDescent="0.25">
      <c r="A41" s="1" t="s">
        <v>110</v>
      </c>
      <c r="B41" s="5">
        <v>45360</v>
      </c>
      <c r="C41" s="1" t="s">
        <v>72</v>
      </c>
      <c r="D41" s="1" t="s">
        <v>73</v>
      </c>
      <c r="E41" s="1" t="s">
        <v>78</v>
      </c>
      <c r="F41" s="1" t="s">
        <v>65</v>
      </c>
      <c r="G41" s="1">
        <v>4</v>
      </c>
      <c r="H41" s="1">
        <v>51</v>
      </c>
      <c r="I41" s="1">
        <v>30</v>
      </c>
      <c r="J41" s="1">
        <v>204</v>
      </c>
      <c r="K41" s="6">
        <f t="shared" si="5"/>
        <v>84</v>
      </c>
      <c r="L41" s="7">
        <f t="shared" si="6"/>
        <v>41.17647058823529</v>
      </c>
      <c r="M41" s="8">
        <f t="shared" si="7"/>
        <v>2024</v>
      </c>
      <c r="N41" t="str">
        <f t="shared" si="8"/>
        <v>March</v>
      </c>
      <c r="O41" t="str">
        <f t="shared" si="9"/>
        <v>Excellent</v>
      </c>
    </row>
    <row r="42" spans="1:15" ht="15" customHeight="1" x14ac:dyDescent="0.25">
      <c r="A42" s="1" t="s">
        <v>111</v>
      </c>
      <c r="B42" s="5">
        <v>45339</v>
      </c>
      <c r="C42" s="1" t="s">
        <v>67</v>
      </c>
      <c r="D42" s="1" t="s">
        <v>61</v>
      </c>
      <c r="E42" s="1" t="s">
        <v>52</v>
      </c>
      <c r="F42" s="1" t="s">
        <v>58</v>
      </c>
      <c r="G42" s="1">
        <v>7</v>
      </c>
      <c r="H42" s="1">
        <v>117</v>
      </c>
      <c r="I42" s="1">
        <v>70</v>
      </c>
      <c r="J42" s="1">
        <v>819</v>
      </c>
      <c r="K42" s="6">
        <f t="shared" si="5"/>
        <v>329</v>
      </c>
      <c r="L42" s="7">
        <f t="shared" si="6"/>
        <v>40.17094017094017</v>
      </c>
      <c r="M42" s="8">
        <f t="shared" si="7"/>
        <v>2024</v>
      </c>
      <c r="N42" t="str">
        <f t="shared" si="8"/>
        <v>February</v>
      </c>
      <c r="O42" t="str">
        <f t="shared" si="9"/>
        <v>Excellent</v>
      </c>
    </row>
    <row r="43" spans="1:15" ht="15" customHeight="1" x14ac:dyDescent="0.25">
      <c r="A43" s="1" t="s">
        <v>112</v>
      </c>
      <c r="B43" s="5">
        <v>45476</v>
      </c>
      <c r="C43" s="1" t="s">
        <v>86</v>
      </c>
      <c r="D43" s="1" t="s">
        <v>73</v>
      </c>
      <c r="E43" s="1" t="s">
        <v>57</v>
      </c>
      <c r="F43" s="1" t="s">
        <v>69</v>
      </c>
      <c r="G43" s="1">
        <v>6</v>
      </c>
      <c r="H43" s="1">
        <v>162</v>
      </c>
      <c r="I43" s="1">
        <v>97</v>
      </c>
      <c r="J43" s="1">
        <v>972</v>
      </c>
      <c r="K43" s="6">
        <f t="shared" si="5"/>
        <v>390</v>
      </c>
      <c r="L43" s="7">
        <f t="shared" si="6"/>
        <v>40.123456790123456</v>
      </c>
      <c r="M43" s="8">
        <f t="shared" si="7"/>
        <v>2024</v>
      </c>
      <c r="N43" t="str">
        <f t="shared" si="8"/>
        <v>July</v>
      </c>
      <c r="O43" t="str">
        <f t="shared" si="9"/>
        <v>Excellent</v>
      </c>
    </row>
    <row r="44" spans="1:15" ht="15" customHeight="1" x14ac:dyDescent="0.25">
      <c r="A44" s="1" t="s">
        <v>113</v>
      </c>
      <c r="B44" s="5">
        <v>45400</v>
      </c>
      <c r="C44" s="1" t="s">
        <v>88</v>
      </c>
      <c r="D44" s="1" t="s">
        <v>61</v>
      </c>
      <c r="E44" s="1" t="s">
        <v>52</v>
      </c>
      <c r="F44" s="1" t="s">
        <v>69</v>
      </c>
      <c r="G44" s="1">
        <v>18</v>
      </c>
      <c r="H44" s="1">
        <v>70</v>
      </c>
      <c r="I44" s="1">
        <v>42</v>
      </c>
      <c r="J44" s="1">
        <v>1260</v>
      </c>
      <c r="K44" s="6">
        <f t="shared" si="5"/>
        <v>504</v>
      </c>
      <c r="L44" s="7">
        <f t="shared" si="6"/>
        <v>40</v>
      </c>
      <c r="M44" s="8">
        <f t="shared" si="7"/>
        <v>2024</v>
      </c>
      <c r="N44" t="str">
        <f t="shared" si="8"/>
        <v>April</v>
      </c>
      <c r="O44" t="str">
        <f t="shared" si="9"/>
        <v>Excellent</v>
      </c>
    </row>
    <row r="45" spans="1:15" ht="15" customHeight="1" x14ac:dyDescent="0.25">
      <c r="A45" s="1" t="s">
        <v>114</v>
      </c>
      <c r="B45" s="5">
        <v>44978</v>
      </c>
      <c r="C45" s="1" t="s">
        <v>60</v>
      </c>
      <c r="D45" s="1" t="s">
        <v>61</v>
      </c>
      <c r="E45" s="1" t="s">
        <v>52</v>
      </c>
      <c r="F45" s="1" t="s">
        <v>65</v>
      </c>
      <c r="G45" s="1">
        <v>8</v>
      </c>
      <c r="H45" s="1">
        <v>105</v>
      </c>
      <c r="I45" s="1">
        <v>63</v>
      </c>
      <c r="J45" s="1">
        <v>840</v>
      </c>
      <c r="K45" s="6">
        <f t="shared" si="5"/>
        <v>336</v>
      </c>
      <c r="L45" s="7">
        <f t="shared" si="6"/>
        <v>40</v>
      </c>
      <c r="M45" s="8">
        <f t="shared" si="7"/>
        <v>2023</v>
      </c>
      <c r="N45" t="str">
        <f t="shared" si="8"/>
        <v>February</v>
      </c>
      <c r="O45" t="str">
        <f t="shared" si="9"/>
        <v>Excellent</v>
      </c>
    </row>
    <row r="46" spans="1:15" ht="15" customHeight="1" x14ac:dyDescent="0.25">
      <c r="A46" s="1" t="s">
        <v>115</v>
      </c>
      <c r="B46" s="5">
        <v>45343</v>
      </c>
      <c r="C46" s="1" t="s">
        <v>86</v>
      </c>
      <c r="D46" s="1" t="s">
        <v>73</v>
      </c>
      <c r="E46" s="1" t="s">
        <v>78</v>
      </c>
      <c r="F46" s="1" t="s">
        <v>58</v>
      </c>
      <c r="G46" s="1">
        <v>13</v>
      </c>
      <c r="H46" s="1">
        <v>482</v>
      </c>
      <c r="I46" s="1">
        <v>289</v>
      </c>
      <c r="J46" s="1">
        <v>6266</v>
      </c>
      <c r="K46" s="6">
        <f t="shared" si="5"/>
        <v>2509</v>
      </c>
      <c r="L46" s="7">
        <f t="shared" si="6"/>
        <v>40.04149377593361</v>
      </c>
      <c r="M46" s="8">
        <f t="shared" si="7"/>
        <v>2024</v>
      </c>
      <c r="N46" t="str">
        <f t="shared" si="8"/>
        <v>February</v>
      </c>
      <c r="O46" t="str">
        <f t="shared" si="9"/>
        <v>Excellent</v>
      </c>
    </row>
    <row r="47" spans="1:15" ht="15" customHeight="1" x14ac:dyDescent="0.25">
      <c r="A47" s="1" t="s">
        <v>116</v>
      </c>
      <c r="B47" s="5">
        <v>44987</v>
      </c>
      <c r="C47" s="1" t="s">
        <v>80</v>
      </c>
      <c r="D47" s="1" t="s">
        <v>51</v>
      </c>
      <c r="E47" s="1" t="s">
        <v>78</v>
      </c>
      <c r="F47" s="1" t="s">
        <v>65</v>
      </c>
      <c r="G47" s="1">
        <v>13</v>
      </c>
      <c r="H47" s="1">
        <v>593</v>
      </c>
      <c r="I47" s="1">
        <v>355</v>
      </c>
      <c r="J47" s="1">
        <v>7709</v>
      </c>
      <c r="K47" s="6">
        <f t="shared" si="5"/>
        <v>3094</v>
      </c>
      <c r="L47" s="7">
        <f t="shared" si="6"/>
        <v>40.134907251264757</v>
      </c>
      <c r="M47" s="8">
        <f t="shared" si="7"/>
        <v>2023</v>
      </c>
      <c r="N47" t="str">
        <f t="shared" si="8"/>
        <v>March</v>
      </c>
      <c r="O47" t="str">
        <f t="shared" si="9"/>
        <v>Excellent</v>
      </c>
    </row>
    <row r="48" spans="1:15" ht="15" customHeight="1" x14ac:dyDescent="0.25">
      <c r="A48" s="1" t="s">
        <v>117</v>
      </c>
      <c r="B48" s="5">
        <v>45392</v>
      </c>
      <c r="C48" s="1" t="s">
        <v>99</v>
      </c>
      <c r="D48" s="1" t="s">
        <v>61</v>
      </c>
      <c r="E48" s="1" t="s">
        <v>78</v>
      </c>
      <c r="F48" s="1" t="s">
        <v>55</v>
      </c>
      <c r="G48" s="1">
        <v>16</v>
      </c>
      <c r="H48" s="1">
        <v>99</v>
      </c>
      <c r="I48" s="1">
        <v>59</v>
      </c>
      <c r="J48" s="1">
        <v>1584</v>
      </c>
      <c r="K48" s="6">
        <f t="shared" si="5"/>
        <v>640</v>
      </c>
      <c r="L48" s="7">
        <f t="shared" si="6"/>
        <v>40.404040404040401</v>
      </c>
      <c r="M48" s="8">
        <f t="shared" si="7"/>
        <v>2024</v>
      </c>
      <c r="N48" t="str">
        <f t="shared" si="8"/>
        <v>April</v>
      </c>
      <c r="O48" t="str">
        <f t="shared" si="9"/>
        <v>Excellent</v>
      </c>
    </row>
    <row r="49" spans="1:15" ht="15" customHeight="1" x14ac:dyDescent="0.25">
      <c r="A49" s="1" t="s">
        <v>118</v>
      </c>
      <c r="B49" s="5">
        <v>45121</v>
      </c>
      <c r="C49" s="1" t="s">
        <v>99</v>
      </c>
      <c r="D49" s="1" t="s">
        <v>61</v>
      </c>
      <c r="E49" s="1" t="s">
        <v>57</v>
      </c>
      <c r="F49" s="1" t="s">
        <v>65</v>
      </c>
      <c r="G49" s="1">
        <v>19</v>
      </c>
      <c r="H49" s="1">
        <v>396</v>
      </c>
      <c r="I49" s="1">
        <v>237</v>
      </c>
      <c r="J49" s="1">
        <v>7524</v>
      </c>
      <c r="K49" s="6">
        <f t="shared" si="5"/>
        <v>3021</v>
      </c>
      <c r="L49" s="7">
        <f t="shared" si="6"/>
        <v>40.151515151515149</v>
      </c>
      <c r="M49" s="8">
        <f t="shared" si="7"/>
        <v>2023</v>
      </c>
      <c r="N49" t="str">
        <f t="shared" si="8"/>
        <v>July</v>
      </c>
      <c r="O49" t="str">
        <f t="shared" si="9"/>
        <v>Excellent</v>
      </c>
    </row>
    <row r="50" spans="1:15" ht="15" customHeight="1" x14ac:dyDescent="0.25">
      <c r="A50" s="1" t="s">
        <v>119</v>
      </c>
      <c r="B50" s="5">
        <v>45482</v>
      </c>
      <c r="C50" s="1" t="s">
        <v>76</v>
      </c>
      <c r="D50" s="1" t="s">
        <v>51</v>
      </c>
      <c r="E50" s="1" t="s">
        <v>64</v>
      </c>
      <c r="F50" s="1" t="s">
        <v>65</v>
      </c>
      <c r="G50" s="1">
        <v>2</v>
      </c>
      <c r="H50" s="1">
        <v>1246</v>
      </c>
      <c r="I50" s="1">
        <v>747</v>
      </c>
      <c r="J50" s="1">
        <v>2492</v>
      </c>
      <c r="K50" s="6">
        <f t="shared" si="5"/>
        <v>998</v>
      </c>
      <c r="L50" s="7">
        <f t="shared" si="6"/>
        <v>40.048154093097914</v>
      </c>
      <c r="M50" s="8">
        <f t="shared" si="7"/>
        <v>2024</v>
      </c>
      <c r="N50" t="str">
        <f t="shared" si="8"/>
        <v>July</v>
      </c>
      <c r="O50" t="str">
        <f t="shared" si="9"/>
        <v>Excellent</v>
      </c>
    </row>
    <row r="51" spans="1:15" ht="15" customHeight="1" x14ac:dyDescent="0.25">
      <c r="A51" s="1" t="s">
        <v>120</v>
      </c>
      <c r="B51" s="5">
        <v>45415</v>
      </c>
      <c r="C51" s="1" t="s">
        <v>60</v>
      </c>
      <c r="D51" s="1" t="s">
        <v>61</v>
      </c>
      <c r="E51" s="1" t="s">
        <v>57</v>
      </c>
      <c r="F51" s="1" t="s">
        <v>65</v>
      </c>
      <c r="G51" s="1">
        <v>17</v>
      </c>
      <c r="H51" s="1">
        <v>61</v>
      </c>
      <c r="I51" s="1">
        <v>36</v>
      </c>
      <c r="J51" s="1">
        <v>1037</v>
      </c>
      <c r="K51" s="6">
        <f t="shared" si="5"/>
        <v>425</v>
      </c>
      <c r="L51" s="7">
        <f t="shared" si="6"/>
        <v>40.983606557377051</v>
      </c>
      <c r="M51" s="8">
        <f t="shared" si="7"/>
        <v>2024</v>
      </c>
      <c r="N51" t="str">
        <f t="shared" si="8"/>
        <v>May</v>
      </c>
      <c r="O51" t="str">
        <f t="shared" si="9"/>
        <v>Excellent</v>
      </c>
    </row>
    <row r="52" spans="1:15" ht="15" customHeight="1" x14ac:dyDescent="0.25">
      <c r="A52" s="1" t="s">
        <v>121</v>
      </c>
      <c r="B52" s="5">
        <v>45117</v>
      </c>
      <c r="C52" s="1" t="s">
        <v>50</v>
      </c>
      <c r="D52" s="1" t="s">
        <v>51</v>
      </c>
      <c r="E52" s="1" t="s">
        <v>52</v>
      </c>
      <c r="F52" s="1" t="s">
        <v>58</v>
      </c>
      <c r="G52" s="1">
        <v>13</v>
      </c>
      <c r="H52" s="1">
        <v>295</v>
      </c>
      <c r="I52" s="1">
        <v>177</v>
      </c>
      <c r="J52" s="1">
        <v>3835</v>
      </c>
      <c r="K52" s="6">
        <f t="shared" si="5"/>
        <v>1534</v>
      </c>
      <c r="L52" s="7">
        <f t="shared" si="6"/>
        <v>40</v>
      </c>
      <c r="M52" s="8">
        <f t="shared" si="7"/>
        <v>2023</v>
      </c>
      <c r="N52" t="str">
        <f t="shared" si="8"/>
        <v>July</v>
      </c>
      <c r="O52" t="str">
        <f t="shared" si="9"/>
        <v>Excellent</v>
      </c>
    </row>
    <row r="53" spans="1:15" ht="15" customHeight="1" x14ac:dyDescent="0.25">
      <c r="A53" s="1" t="s">
        <v>122</v>
      </c>
      <c r="B53" s="5">
        <v>45510</v>
      </c>
      <c r="C53" s="1" t="s">
        <v>88</v>
      </c>
      <c r="D53" s="1" t="s">
        <v>61</v>
      </c>
      <c r="E53" s="1" t="s">
        <v>52</v>
      </c>
      <c r="F53" s="1" t="s">
        <v>55</v>
      </c>
      <c r="G53" s="1">
        <v>3</v>
      </c>
      <c r="H53" s="1">
        <v>234</v>
      </c>
      <c r="I53" s="1">
        <v>140</v>
      </c>
      <c r="J53" s="1">
        <v>702</v>
      </c>
      <c r="K53" s="6">
        <f t="shared" si="5"/>
        <v>282</v>
      </c>
      <c r="L53" s="7">
        <f t="shared" si="6"/>
        <v>40.17094017094017</v>
      </c>
      <c r="M53" s="8">
        <f t="shared" si="7"/>
        <v>2024</v>
      </c>
      <c r="N53" t="str">
        <f t="shared" si="8"/>
        <v>August</v>
      </c>
      <c r="O53" t="str">
        <f t="shared" si="9"/>
        <v>Excellent</v>
      </c>
    </row>
    <row r="54" spans="1:15" ht="15" customHeight="1" x14ac:dyDescent="0.25">
      <c r="A54" s="1" t="s">
        <v>123</v>
      </c>
      <c r="B54" s="5">
        <v>45600</v>
      </c>
      <c r="C54" s="1" t="s">
        <v>63</v>
      </c>
      <c r="D54" s="1" t="s">
        <v>61</v>
      </c>
      <c r="E54" s="1" t="s">
        <v>64</v>
      </c>
      <c r="F54" s="1" t="s">
        <v>53</v>
      </c>
      <c r="G54" s="1">
        <v>7</v>
      </c>
      <c r="H54" s="1">
        <v>362</v>
      </c>
      <c r="I54" s="1">
        <v>217</v>
      </c>
      <c r="J54" s="1">
        <v>2534</v>
      </c>
      <c r="K54" s="6">
        <f t="shared" si="5"/>
        <v>1015</v>
      </c>
      <c r="L54" s="7">
        <f t="shared" si="6"/>
        <v>40.055248618784525</v>
      </c>
      <c r="M54" s="8">
        <f t="shared" si="7"/>
        <v>2024</v>
      </c>
      <c r="N54" t="str">
        <f t="shared" si="8"/>
        <v>November</v>
      </c>
      <c r="O54" t="str">
        <f t="shared" si="9"/>
        <v>Excellent</v>
      </c>
    </row>
    <row r="55" spans="1:15" ht="15" customHeight="1" x14ac:dyDescent="0.25">
      <c r="A55" s="1" t="s">
        <v>124</v>
      </c>
      <c r="B55" s="5">
        <v>45248</v>
      </c>
      <c r="C55" s="1" t="s">
        <v>88</v>
      </c>
      <c r="D55" s="1" t="s">
        <v>61</v>
      </c>
      <c r="E55" s="1" t="s">
        <v>64</v>
      </c>
      <c r="F55" s="1" t="s">
        <v>69</v>
      </c>
      <c r="G55" s="1">
        <v>5</v>
      </c>
      <c r="H55" s="1">
        <v>363</v>
      </c>
      <c r="I55" s="1">
        <v>217</v>
      </c>
      <c r="J55" s="1">
        <v>1815</v>
      </c>
      <c r="K55" s="6">
        <f t="shared" si="5"/>
        <v>730</v>
      </c>
      <c r="L55" s="7">
        <f t="shared" si="6"/>
        <v>40.22038567493113</v>
      </c>
      <c r="M55" s="8">
        <f t="shared" si="7"/>
        <v>2023</v>
      </c>
      <c r="N55" t="str">
        <f t="shared" si="8"/>
        <v>November</v>
      </c>
      <c r="O55" t="str">
        <f t="shared" si="9"/>
        <v>Excellent</v>
      </c>
    </row>
    <row r="56" spans="1:15" ht="15" customHeight="1" x14ac:dyDescent="0.25">
      <c r="A56" s="1" t="s">
        <v>125</v>
      </c>
      <c r="B56" s="5">
        <v>45587</v>
      </c>
      <c r="C56" s="1" t="s">
        <v>99</v>
      </c>
      <c r="D56" s="1" t="s">
        <v>61</v>
      </c>
      <c r="E56" s="1" t="s">
        <v>78</v>
      </c>
      <c r="F56" s="1" t="s">
        <v>53</v>
      </c>
      <c r="G56" s="1">
        <v>3</v>
      </c>
      <c r="H56" s="1">
        <v>24</v>
      </c>
      <c r="I56" s="1">
        <v>14</v>
      </c>
      <c r="J56" s="1">
        <v>72</v>
      </c>
      <c r="K56" s="6">
        <f t="shared" si="5"/>
        <v>30</v>
      </c>
      <c r="L56" s="7">
        <f t="shared" si="6"/>
        <v>41.666666666666671</v>
      </c>
      <c r="M56" s="8">
        <f t="shared" si="7"/>
        <v>2024</v>
      </c>
      <c r="N56" t="str">
        <f t="shared" si="8"/>
        <v>October</v>
      </c>
      <c r="O56" t="str">
        <f t="shared" si="9"/>
        <v>Excellent</v>
      </c>
    </row>
    <row r="57" spans="1:15" ht="15" customHeight="1" x14ac:dyDescent="0.25">
      <c r="A57" s="1" t="s">
        <v>126</v>
      </c>
      <c r="B57" s="5">
        <v>45396</v>
      </c>
      <c r="C57" s="1" t="s">
        <v>63</v>
      </c>
      <c r="D57" s="1" t="s">
        <v>61</v>
      </c>
      <c r="E57" s="1" t="s">
        <v>52</v>
      </c>
      <c r="F57" s="1" t="s">
        <v>65</v>
      </c>
      <c r="G57" s="1">
        <v>18</v>
      </c>
      <c r="H57" s="1">
        <v>129</v>
      </c>
      <c r="I57" s="1">
        <v>77</v>
      </c>
      <c r="J57" s="1">
        <v>2322</v>
      </c>
      <c r="K57" s="6">
        <f t="shared" si="5"/>
        <v>936</v>
      </c>
      <c r="L57" s="7">
        <f t="shared" si="6"/>
        <v>40.310077519379846</v>
      </c>
      <c r="M57" s="8">
        <f t="shared" si="7"/>
        <v>2024</v>
      </c>
      <c r="N57" t="str">
        <f t="shared" si="8"/>
        <v>April</v>
      </c>
      <c r="O57" t="str">
        <f t="shared" si="9"/>
        <v>Excellent</v>
      </c>
    </row>
    <row r="58" spans="1:15" ht="15" customHeight="1" x14ac:dyDescent="0.25">
      <c r="A58" s="1" t="s">
        <v>127</v>
      </c>
      <c r="B58" s="5">
        <v>45445</v>
      </c>
      <c r="C58" s="1" t="s">
        <v>99</v>
      </c>
      <c r="D58" s="1" t="s">
        <v>61</v>
      </c>
      <c r="E58" s="1" t="s">
        <v>57</v>
      </c>
      <c r="F58" s="1" t="s">
        <v>53</v>
      </c>
      <c r="G58" s="1">
        <v>3</v>
      </c>
      <c r="H58" s="1">
        <v>470</v>
      </c>
      <c r="I58" s="1">
        <v>282</v>
      </c>
      <c r="J58" s="1">
        <v>1410</v>
      </c>
      <c r="K58" s="6">
        <f t="shared" si="5"/>
        <v>564</v>
      </c>
      <c r="L58" s="7">
        <f t="shared" si="6"/>
        <v>40</v>
      </c>
      <c r="M58" s="8">
        <f t="shared" si="7"/>
        <v>2024</v>
      </c>
      <c r="N58" t="str">
        <f t="shared" si="8"/>
        <v>June</v>
      </c>
      <c r="O58" t="str">
        <f t="shared" si="9"/>
        <v>Excellent</v>
      </c>
    </row>
    <row r="59" spans="1:15" ht="15" customHeight="1" x14ac:dyDescent="0.25">
      <c r="A59" s="1" t="s">
        <v>128</v>
      </c>
      <c r="B59" s="5">
        <v>45177</v>
      </c>
      <c r="C59" s="1" t="s">
        <v>67</v>
      </c>
      <c r="D59" s="1" t="s">
        <v>61</v>
      </c>
      <c r="E59" s="1" t="s">
        <v>64</v>
      </c>
      <c r="F59" s="1" t="s">
        <v>58</v>
      </c>
      <c r="G59" s="1">
        <v>15</v>
      </c>
      <c r="H59" s="1">
        <v>446</v>
      </c>
      <c r="I59" s="1">
        <v>267</v>
      </c>
      <c r="J59" s="1">
        <v>6690</v>
      </c>
      <c r="K59" s="6">
        <f t="shared" si="5"/>
        <v>2685</v>
      </c>
      <c r="L59" s="7">
        <f t="shared" si="6"/>
        <v>40.134529147982065</v>
      </c>
      <c r="M59" s="8">
        <f t="shared" si="7"/>
        <v>2023</v>
      </c>
      <c r="N59" t="str">
        <f t="shared" si="8"/>
        <v>September</v>
      </c>
      <c r="O59" t="str">
        <f t="shared" si="9"/>
        <v>Excellent</v>
      </c>
    </row>
    <row r="60" spans="1:15" ht="15" customHeight="1" x14ac:dyDescent="0.25">
      <c r="A60" s="1" t="s">
        <v>129</v>
      </c>
      <c r="B60" s="5">
        <v>45483</v>
      </c>
      <c r="C60" s="1" t="s">
        <v>99</v>
      </c>
      <c r="D60" s="1" t="s">
        <v>61</v>
      </c>
      <c r="E60" s="1" t="s">
        <v>52</v>
      </c>
      <c r="F60" s="1" t="s">
        <v>55</v>
      </c>
      <c r="G60" s="1">
        <v>10</v>
      </c>
      <c r="H60" s="1">
        <v>497</v>
      </c>
      <c r="I60" s="1">
        <v>298</v>
      </c>
      <c r="J60" s="1">
        <v>4970</v>
      </c>
      <c r="K60" s="6">
        <f t="shared" si="5"/>
        <v>1990</v>
      </c>
      <c r="L60" s="7">
        <f t="shared" si="6"/>
        <v>40.040241448692157</v>
      </c>
      <c r="M60" s="8">
        <f t="shared" si="7"/>
        <v>2024</v>
      </c>
      <c r="N60" t="str">
        <f t="shared" si="8"/>
        <v>July</v>
      </c>
      <c r="O60" t="str">
        <f t="shared" si="9"/>
        <v>Excellent</v>
      </c>
    </row>
    <row r="61" spans="1:15" ht="15" customHeight="1" x14ac:dyDescent="0.25">
      <c r="A61" s="1" t="s">
        <v>130</v>
      </c>
      <c r="B61" s="5">
        <v>45606</v>
      </c>
      <c r="C61" s="1" t="s">
        <v>50</v>
      </c>
      <c r="D61" s="1" t="s">
        <v>51</v>
      </c>
      <c r="E61" s="1" t="s">
        <v>57</v>
      </c>
      <c r="F61" s="1" t="s">
        <v>53</v>
      </c>
      <c r="G61" s="1">
        <v>4</v>
      </c>
      <c r="H61" s="1">
        <v>1872</v>
      </c>
      <c r="I61" s="1">
        <v>1123</v>
      </c>
      <c r="J61" s="1">
        <v>7488</v>
      </c>
      <c r="K61" s="6">
        <f t="shared" si="5"/>
        <v>2996</v>
      </c>
      <c r="L61" s="7">
        <f t="shared" si="6"/>
        <v>40.010683760683762</v>
      </c>
      <c r="M61" s="8">
        <f t="shared" si="7"/>
        <v>2024</v>
      </c>
      <c r="N61" t="str">
        <f t="shared" si="8"/>
        <v>November</v>
      </c>
      <c r="O61" t="str">
        <f t="shared" si="9"/>
        <v>Excellent</v>
      </c>
    </row>
    <row r="62" spans="1:15" ht="15" customHeight="1" x14ac:dyDescent="0.25">
      <c r="A62" s="1" t="s">
        <v>131</v>
      </c>
      <c r="B62" s="5">
        <v>45036</v>
      </c>
      <c r="C62" s="1" t="s">
        <v>60</v>
      </c>
      <c r="D62" s="1" t="s">
        <v>61</v>
      </c>
      <c r="E62" s="1" t="s">
        <v>57</v>
      </c>
      <c r="F62" s="1" t="s">
        <v>53</v>
      </c>
      <c r="G62" s="1">
        <v>10</v>
      </c>
      <c r="H62" s="1">
        <v>329</v>
      </c>
      <c r="I62" s="1">
        <v>197</v>
      </c>
      <c r="J62" s="1">
        <v>3290</v>
      </c>
      <c r="K62" s="6">
        <f t="shared" si="5"/>
        <v>1320</v>
      </c>
      <c r="L62" s="7">
        <f t="shared" si="6"/>
        <v>40.121580547112465</v>
      </c>
      <c r="M62" s="8">
        <f t="shared" si="7"/>
        <v>2023</v>
      </c>
      <c r="N62" t="str">
        <f t="shared" si="8"/>
        <v>April</v>
      </c>
      <c r="O62" t="str">
        <f t="shared" si="9"/>
        <v>Excellent</v>
      </c>
    </row>
    <row r="63" spans="1:15" ht="15" customHeight="1" x14ac:dyDescent="0.25">
      <c r="A63" s="1" t="s">
        <v>132</v>
      </c>
      <c r="B63" s="5">
        <v>45142</v>
      </c>
      <c r="C63" s="1" t="s">
        <v>67</v>
      </c>
      <c r="D63" s="1" t="s">
        <v>61</v>
      </c>
      <c r="E63" s="1" t="s">
        <v>57</v>
      </c>
      <c r="F63" s="1" t="s">
        <v>53</v>
      </c>
      <c r="G63" s="1">
        <v>17</v>
      </c>
      <c r="H63" s="1">
        <v>270</v>
      </c>
      <c r="I63" s="1">
        <v>162</v>
      </c>
      <c r="J63" s="1">
        <v>4590</v>
      </c>
      <c r="K63" s="6">
        <f t="shared" si="5"/>
        <v>1836</v>
      </c>
      <c r="L63" s="7">
        <f t="shared" si="6"/>
        <v>40</v>
      </c>
      <c r="M63" s="8">
        <f t="shared" si="7"/>
        <v>2023</v>
      </c>
      <c r="N63" t="str">
        <f t="shared" si="8"/>
        <v>August</v>
      </c>
      <c r="O63" t="str">
        <f t="shared" si="9"/>
        <v>Excellent</v>
      </c>
    </row>
    <row r="64" spans="1:15" ht="15" customHeight="1" x14ac:dyDescent="0.25">
      <c r="A64" s="1" t="s">
        <v>133</v>
      </c>
      <c r="B64" s="5">
        <v>45184</v>
      </c>
      <c r="C64" s="1" t="s">
        <v>76</v>
      </c>
      <c r="D64" s="1" t="s">
        <v>51</v>
      </c>
      <c r="E64" s="1" t="s">
        <v>52</v>
      </c>
      <c r="F64" s="1" t="s">
        <v>69</v>
      </c>
      <c r="G64" s="1">
        <v>9</v>
      </c>
      <c r="H64" s="1">
        <v>140</v>
      </c>
      <c r="I64" s="1">
        <v>84</v>
      </c>
      <c r="J64" s="1">
        <v>1260</v>
      </c>
      <c r="K64" s="6">
        <f t="shared" si="5"/>
        <v>504</v>
      </c>
      <c r="L64" s="7">
        <f t="shared" si="6"/>
        <v>40</v>
      </c>
      <c r="M64" s="8">
        <f t="shared" si="7"/>
        <v>2023</v>
      </c>
      <c r="N64" t="str">
        <f t="shared" si="8"/>
        <v>September</v>
      </c>
      <c r="O64" t="str">
        <f t="shared" si="9"/>
        <v>Excellent</v>
      </c>
    </row>
    <row r="65" spans="1:15" ht="15" customHeight="1" x14ac:dyDescent="0.25">
      <c r="A65" s="1" t="s">
        <v>134</v>
      </c>
      <c r="B65" s="5">
        <v>44930</v>
      </c>
      <c r="C65" s="1" t="s">
        <v>67</v>
      </c>
      <c r="D65" s="1" t="s">
        <v>61</v>
      </c>
      <c r="E65" s="1" t="s">
        <v>57</v>
      </c>
      <c r="F65" s="1" t="s">
        <v>53</v>
      </c>
      <c r="G65" s="1">
        <v>6</v>
      </c>
      <c r="H65" s="1">
        <v>399</v>
      </c>
      <c r="I65" s="1">
        <v>239</v>
      </c>
      <c r="J65" s="1">
        <v>2394</v>
      </c>
      <c r="K65" s="6">
        <f t="shared" si="5"/>
        <v>960</v>
      </c>
      <c r="L65" s="7">
        <f t="shared" si="6"/>
        <v>40.100250626566414</v>
      </c>
      <c r="M65" s="8">
        <f t="shared" si="7"/>
        <v>2023</v>
      </c>
      <c r="N65" t="str">
        <f t="shared" si="8"/>
        <v>January</v>
      </c>
      <c r="O65" t="str">
        <f t="shared" si="9"/>
        <v>Excellent</v>
      </c>
    </row>
    <row r="66" spans="1:15" ht="15" customHeight="1" x14ac:dyDescent="0.25">
      <c r="A66" s="1" t="s">
        <v>135</v>
      </c>
      <c r="B66" s="5">
        <v>45379</v>
      </c>
      <c r="C66" s="1" t="s">
        <v>60</v>
      </c>
      <c r="D66" s="1" t="s">
        <v>61</v>
      </c>
      <c r="E66" s="1" t="s">
        <v>78</v>
      </c>
      <c r="F66" s="1" t="s">
        <v>55</v>
      </c>
      <c r="G66" s="1">
        <v>1</v>
      </c>
      <c r="H66" s="1">
        <v>77</v>
      </c>
      <c r="I66" s="1">
        <v>46</v>
      </c>
      <c r="J66" s="1">
        <v>77</v>
      </c>
      <c r="K66" s="6">
        <f t="shared" ref="K66:K97" si="10">J66-(G66*I66)</f>
        <v>31</v>
      </c>
      <c r="L66" s="7">
        <f t="shared" ref="L66:L97" si="11">(K66/J66)*100</f>
        <v>40.259740259740262</v>
      </c>
      <c r="M66" s="8">
        <f t="shared" ref="M66:M97" si="12">YEAR(B66)</f>
        <v>2024</v>
      </c>
      <c r="N66" t="str">
        <f t="shared" ref="N66:N97" si="13">TEXT(B66,"MMMM")</f>
        <v>March</v>
      </c>
      <c r="O66" t="str">
        <f t="shared" ref="O66:O97" si="14">IF(L66&gt;35,"Excellent",IF(L66&gt;25,"Good","Average"))</f>
        <v>Excellent</v>
      </c>
    </row>
    <row r="67" spans="1:15" ht="15" customHeight="1" x14ac:dyDescent="0.25">
      <c r="A67" s="1" t="s">
        <v>136</v>
      </c>
      <c r="B67" s="5">
        <v>45004</v>
      </c>
      <c r="C67" s="1" t="s">
        <v>80</v>
      </c>
      <c r="D67" s="1" t="s">
        <v>51</v>
      </c>
      <c r="E67" s="1" t="s">
        <v>52</v>
      </c>
      <c r="F67" s="1" t="s">
        <v>53</v>
      </c>
      <c r="G67" s="1">
        <v>19</v>
      </c>
      <c r="H67" s="1">
        <v>1181</v>
      </c>
      <c r="I67" s="1">
        <v>708</v>
      </c>
      <c r="J67" s="1">
        <v>22439</v>
      </c>
      <c r="K67" s="6">
        <f t="shared" si="10"/>
        <v>8987</v>
      </c>
      <c r="L67" s="7">
        <f t="shared" si="11"/>
        <v>40.050804403048261</v>
      </c>
      <c r="M67" s="8">
        <f t="shared" si="12"/>
        <v>2023</v>
      </c>
      <c r="N67" t="str">
        <f t="shared" si="13"/>
        <v>March</v>
      </c>
      <c r="O67" t="str">
        <f t="shared" si="14"/>
        <v>Excellent</v>
      </c>
    </row>
    <row r="68" spans="1:15" ht="15" customHeight="1" x14ac:dyDescent="0.25">
      <c r="A68" s="1" t="s">
        <v>137</v>
      </c>
      <c r="B68" s="5">
        <v>45078</v>
      </c>
      <c r="C68" s="1" t="s">
        <v>72</v>
      </c>
      <c r="D68" s="1" t="s">
        <v>73</v>
      </c>
      <c r="E68" s="1" t="s">
        <v>57</v>
      </c>
      <c r="F68" s="1" t="s">
        <v>65</v>
      </c>
      <c r="G68" s="1">
        <v>10</v>
      </c>
      <c r="H68" s="1">
        <v>206</v>
      </c>
      <c r="I68" s="1">
        <v>123</v>
      </c>
      <c r="J68" s="1">
        <v>2060</v>
      </c>
      <c r="K68" s="6">
        <f t="shared" si="10"/>
        <v>830</v>
      </c>
      <c r="L68" s="7">
        <f t="shared" si="11"/>
        <v>40.291262135922331</v>
      </c>
      <c r="M68" s="8">
        <f t="shared" si="12"/>
        <v>2023</v>
      </c>
      <c r="N68" t="str">
        <f t="shared" si="13"/>
        <v>June</v>
      </c>
      <c r="O68" t="str">
        <f t="shared" si="14"/>
        <v>Excellent</v>
      </c>
    </row>
    <row r="69" spans="1:15" ht="15" customHeight="1" x14ac:dyDescent="0.25">
      <c r="A69" s="1" t="s">
        <v>138</v>
      </c>
      <c r="B69" s="5">
        <v>44967</v>
      </c>
      <c r="C69" s="1" t="s">
        <v>67</v>
      </c>
      <c r="D69" s="1" t="s">
        <v>61</v>
      </c>
      <c r="E69" s="1" t="s">
        <v>57</v>
      </c>
      <c r="F69" s="1" t="s">
        <v>58</v>
      </c>
      <c r="G69" s="1">
        <v>4</v>
      </c>
      <c r="H69" s="1">
        <v>201</v>
      </c>
      <c r="I69" s="1">
        <v>120</v>
      </c>
      <c r="J69" s="1">
        <v>804</v>
      </c>
      <c r="K69" s="6">
        <f t="shared" si="10"/>
        <v>324</v>
      </c>
      <c r="L69" s="7">
        <f t="shared" si="11"/>
        <v>40.298507462686565</v>
      </c>
      <c r="M69" s="8">
        <f t="shared" si="12"/>
        <v>2023</v>
      </c>
      <c r="N69" t="str">
        <f t="shared" si="13"/>
        <v>February</v>
      </c>
      <c r="O69" t="str">
        <f t="shared" si="14"/>
        <v>Excellent</v>
      </c>
    </row>
    <row r="70" spans="1:15" ht="15" customHeight="1" x14ac:dyDescent="0.25">
      <c r="A70" s="1" t="s">
        <v>139</v>
      </c>
      <c r="B70" s="5">
        <v>45500</v>
      </c>
      <c r="C70" s="1" t="s">
        <v>72</v>
      </c>
      <c r="D70" s="1" t="s">
        <v>73</v>
      </c>
      <c r="E70" s="1" t="s">
        <v>57</v>
      </c>
      <c r="F70" s="1" t="s">
        <v>58</v>
      </c>
      <c r="G70" s="1">
        <v>6</v>
      </c>
      <c r="H70" s="1">
        <v>429</v>
      </c>
      <c r="I70" s="1">
        <v>257</v>
      </c>
      <c r="J70" s="1">
        <v>2574</v>
      </c>
      <c r="K70" s="6">
        <f t="shared" si="10"/>
        <v>1032</v>
      </c>
      <c r="L70" s="7">
        <f t="shared" si="11"/>
        <v>40.093240093240098</v>
      </c>
      <c r="M70" s="8">
        <f t="shared" si="12"/>
        <v>2024</v>
      </c>
      <c r="N70" t="str">
        <f t="shared" si="13"/>
        <v>July</v>
      </c>
      <c r="O70" t="str">
        <f t="shared" si="14"/>
        <v>Excellent</v>
      </c>
    </row>
    <row r="71" spans="1:15" ht="15" customHeight="1" x14ac:dyDescent="0.25">
      <c r="A71" s="1" t="s">
        <v>140</v>
      </c>
      <c r="B71" s="5">
        <v>45108</v>
      </c>
      <c r="C71" s="1" t="s">
        <v>72</v>
      </c>
      <c r="D71" s="1" t="s">
        <v>73</v>
      </c>
      <c r="E71" s="1" t="s">
        <v>52</v>
      </c>
      <c r="F71" s="1" t="s">
        <v>58</v>
      </c>
      <c r="G71" s="1">
        <v>11</v>
      </c>
      <c r="H71" s="1">
        <v>420</v>
      </c>
      <c r="I71" s="1">
        <v>252</v>
      </c>
      <c r="J71" s="1">
        <v>4620</v>
      </c>
      <c r="K71" s="6">
        <f t="shared" si="10"/>
        <v>1848</v>
      </c>
      <c r="L71" s="7">
        <f t="shared" si="11"/>
        <v>40</v>
      </c>
      <c r="M71" s="8">
        <f t="shared" si="12"/>
        <v>2023</v>
      </c>
      <c r="N71" t="str">
        <f t="shared" si="13"/>
        <v>July</v>
      </c>
      <c r="O71" t="str">
        <f t="shared" si="14"/>
        <v>Excellent</v>
      </c>
    </row>
    <row r="72" spans="1:15" ht="15" customHeight="1" x14ac:dyDescent="0.25">
      <c r="A72" s="1" t="s">
        <v>141</v>
      </c>
      <c r="B72" s="5">
        <v>45348</v>
      </c>
      <c r="C72" s="1" t="s">
        <v>88</v>
      </c>
      <c r="D72" s="1" t="s">
        <v>61</v>
      </c>
      <c r="E72" s="1" t="s">
        <v>64</v>
      </c>
      <c r="F72" s="1" t="s">
        <v>58</v>
      </c>
      <c r="G72" s="1">
        <v>4</v>
      </c>
      <c r="H72" s="1">
        <v>215</v>
      </c>
      <c r="I72" s="1">
        <v>129</v>
      </c>
      <c r="J72" s="1">
        <v>860</v>
      </c>
      <c r="K72" s="6">
        <f t="shared" si="10"/>
        <v>344</v>
      </c>
      <c r="L72" s="7">
        <f t="shared" si="11"/>
        <v>40</v>
      </c>
      <c r="M72" s="8">
        <f t="shared" si="12"/>
        <v>2024</v>
      </c>
      <c r="N72" t="str">
        <f t="shared" si="13"/>
        <v>February</v>
      </c>
      <c r="O72" t="str">
        <f t="shared" si="14"/>
        <v>Excellent</v>
      </c>
    </row>
    <row r="73" spans="1:15" ht="15" customHeight="1" x14ac:dyDescent="0.25">
      <c r="A73" s="1" t="s">
        <v>142</v>
      </c>
      <c r="B73" s="5">
        <v>44966</v>
      </c>
      <c r="C73" s="1" t="s">
        <v>86</v>
      </c>
      <c r="D73" s="1" t="s">
        <v>73</v>
      </c>
      <c r="E73" s="1" t="s">
        <v>57</v>
      </c>
      <c r="F73" s="1" t="s">
        <v>58</v>
      </c>
      <c r="G73" s="1">
        <v>15</v>
      </c>
      <c r="H73" s="1">
        <v>199</v>
      </c>
      <c r="I73" s="1">
        <v>119</v>
      </c>
      <c r="J73" s="1">
        <v>2985</v>
      </c>
      <c r="K73" s="6">
        <f t="shared" si="10"/>
        <v>1200</v>
      </c>
      <c r="L73" s="7">
        <f t="shared" si="11"/>
        <v>40.201005025125632</v>
      </c>
      <c r="M73" s="8">
        <f t="shared" si="12"/>
        <v>2023</v>
      </c>
      <c r="N73" t="str">
        <f t="shared" si="13"/>
        <v>February</v>
      </c>
      <c r="O73" t="str">
        <f t="shared" si="14"/>
        <v>Excellent</v>
      </c>
    </row>
    <row r="74" spans="1:15" ht="15" customHeight="1" x14ac:dyDescent="0.25">
      <c r="A74" s="1" t="s">
        <v>143</v>
      </c>
      <c r="B74" s="5">
        <v>45239</v>
      </c>
      <c r="C74" s="1" t="s">
        <v>88</v>
      </c>
      <c r="D74" s="1" t="s">
        <v>61</v>
      </c>
      <c r="E74" s="1" t="s">
        <v>57</v>
      </c>
      <c r="F74" s="1" t="s">
        <v>65</v>
      </c>
      <c r="G74" s="1">
        <v>7</v>
      </c>
      <c r="H74" s="1">
        <v>224</v>
      </c>
      <c r="I74" s="1">
        <v>134</v>
      </c>
      <c r="J74" s="1">
        <v>1568</v>
      </c>
      <c r="K74" s="6">
        <f t="shared" si="10"/>
        <v>630</v>
      </c>
      <c r="L74" s="7">
        <f t="shared" si="11"/>
        <v>40.178571428571431</v>
      </c>
      <c r="M74" s="8">
        <f t="shared" si="12"/>
        <v>2023</v>
      </c>
      <c r="N74" t="str">
        <f t="shared" si="13"/>
        <v>November</v>
      </c>
      <c r="O74" t="str">
        <f t="shared" si="14"/>
        <v>Excellent</v>
      </c>
    </row>
    <row r="75" spans="1:15" ht="15" customHeight="1" x14ac:dyDescent="0.25">
      <c r="A75" s="1" t="s">
        <v>144</v>
      </c>
      <c r="B75" s="5">
        <v>45263</v>
      </c>
      <c r="C75" s="1" t="s">
        <v>99</v>
      </c>
      <c r="D75" s="1" t="s">
        <v>61</v>
      </c>
      <c r="E75" s="1" t="s">
        <v>52</v>
      </c>
      <c r="F75" s="1" t="s">
        <v>53</v>
      </c>
      <c r="G75" s="1">
        <v>12</v>
      </c>
      <c r="H75" s="1">
        <v>348</v>
      </c>
      <c r="I75" s="1">
        <v>208</v>
      </c>
      <c r="J75" s="1">
        <v>4176</v>
      </c>
      <c r="K75" s="6">
        <f t="shared" si="10"/>
        <v>1680</v>
      </c>
      <c r="L75" s="7">
        <f t="shared" si="11"/>
        <v>40.229885057471265</v>
      </c>
      <c r="M75" s="8">
        <f t="shared" si="12"/>
        <v>2023</v>
      </c>
      <c r="N75" t="str">
        <f t="shared" si="13"/>
        <v>December</v>
      </c>
      <c r="O75" t="str">
        <f t="shared" si="14"/>
        <v>Excellent</v>
      </c>
    </row>
    <row r="76" spans="1:15" ht="15" customHeight="1" x14ac:dyDescent="0.25">
      <c r="A76" s="1" t="s">
        <v>145</v>
      </c>
      <c r="B76" s="5">
        <v>45448</v>
      </c>
      <c r="C76" s="1" t="s">
        <v>72</v>
      </c>
      <c r="D76" s="1" t="s">
        <v>73</v>
      </c>
      <c r="E76" s="1" t="s">
        <v>64</v>
      </c>
      <c r="F76" s="1" t="s">
        <v>65</v>
      </c>
      <c r="G76" s="1">
        <v>4</v>
      </c>
      <c r="H76" s="1">
        <v>469</v>
      </c>
      <c r="I76" s="1">
        <v>281</v>
      </c>
      <c r="J76" s="1">
        <v>1876</v>
      </c>
      <c r="K76" s="6">
        <f t="shared" si="10"/>
        <v>752</v>
      </c>
      <c r="L76" s="7">
        <f t="shared" si="11"/>
        <v>40.085287846481876</v>
      </c>
      <c r="M76" s="8">
        <f t="shared" si="12"/>
        <v>2024</v>
      </c>
      <c r="N76" t="str">
        <f t="shared" si="13"/>
        <v>June</v>
      </c>
      <c r="O76" t="str">
        <f t="shared" si="14"/>
        <v>Excellent</v>
      </c>
    </row>
    <row r="77" spans="1:15" ht="15" customHeight="1" x14ac:dyDescent="0.25">
      <c r="A77" s="1" t="s">
        <v>146</v>
      </c>
      <c r="B77" s="5">
        <v>45194</v>
      </c>
      <c r="C77" s="1" t="s">
        <v>80</v>
      </c>
      <c r="D77" s="1" t="s">
        <v>51</v>
      </c>
      <c r="E77" s="1" t="s">
        <v>64</v>
      </c>
      <c r="F77" s="1" t="s">
        <v>65</v>
      </c>
      <c r="G77" s="1">
        <v>4</v>
      </c>
      <c r="H77" s="1">
        <v>1271</v>
      </c>
      <c r="I77" s="1">
        <v>762</v>
      </c>
      <c r="J77" s="1">
        <v>5084</v>
      </c>
      <c r="K77" s="6">
        <f t="shared" si="10"/>
        <v>2036</v>
      </c>
      <c r="L77" s="7">
        <f t="shared" si="11"/>
        <v>40.04720692368214</v>
      </c>
      <c r="M77" s="8">
        <f t="shared" si="12"/>
        <v>2023</v>
      </c>
      <c r="N77" t="str">
        <f t="shared" si="13"/>
        <v>September</v>
      </c>
      <c r="O77" t="str">
        <f t="shared" si="14"/>
        <v>Excellent</v>
      </c>
    </row>
    <row r="78" spans="1:15" ht="15" customHeight="1" x14ac:dyDescent="0.25">
      <c r="A78" s="1" t="s">
        <v>147</v>
      </c>
      <c r="B78" s="5">
        <v>45371</v>
      </c>
      <c r="C78" s="1" t="s">
        <v>67</v>
      </c>
      <c r="D78" s="1" t="s">
        <v>61</v>
      </c>
      <c r="E78" s="1" t="s">
        <v>64</v>
      </c>
      <c r="F78" s="1" t="s">
        <v>69</v>
      </c>
      <c r="G78" s="1">
        <v>20</v>
      </c>
      <c r="H78" s="1">
        <v>281</v>
      </c>
      <c r="I78" s="1">
        <v>168</v>
      </c>
      <c r="J78" s="1">
        <v>5620</v>
      </c>
      <c r="K78" s="6">
        <f t="shared" si="10"/>
        <v>2260</v>
      </c>
      <c r="L78" s="7">
        <f t="shared" si="11"/>
        <v>40.213523131672595</v>
      </c>
      <c r="M78" s="8">
        <f t="shared" si="12"/>
        <v>2024</v>
      </c>
      <c r="N78" t="str">
        <f t="shared" si="13"/>
        <v>March</v>
      </c>
      <c r="O78" t="str">
        <f t="shared" si="14"/>
        <v>Excellent</v>
      </c>
    </row>
    <row r="79" spans="1:15" ht="15" customHeight="1" x14ac:dyDescent="0.25">
      <c r="A79" s="1" t="s">
        <v>148</v>
      </c>
      <c r="B79" s="5">
        <v>45045</v>
      </c>
      <c r="C79" s="1" t="s">
        <v>72</v>
      </c>
      <c r="D79" s="1" t="s">
        <v>73</v>
      </c>
      <c r="E79" s="1" t="s">
        <v>57</v>
      </c>
      <c r="F79" s="1" t="s">
        <v>53</v>
      </c>
      <c r="G79" s="1">
        <v>2</v>
      </c>
      <c r="H79" s="1">
        <v>382</v>
      </c>
      <c r="I79" s="1">
        <v>229</v>
      </c>
      <c r="J79" s="1">
        <v>764</v>
      </c>
      <c r="K79" s="6">
        <f t="shared" si="10"/>
        <v>306</v>
      </c>
      <c r="L79" s="7">
        <f t="shared" si="11"/>
        <v>40.052356020942412</v>
      </c>
      <c r="M79" s="8">
        <f t="shared" si="12"/>
        <v>2023</v>
      </c>
      <c r="N79" t="str">
        <f t="shared" si="13"/>
        <v>April</v>
      </c>
      <c r="O79" t="str">
        <f t="shared" si="14"/>
        <v>Excellent</v>
      </c>
    </row>
    <row r="80" spans="1:15" ht="15" customHeight="1" x14ac:dyDescent="0.25">
      <c r="A80" s="1" t="s">
        <v>149</v>
      </c>
      <c r="B80" s="5">
        <v>45373</v>
      </c>
      <c r="C80" s="1" t="s">
        <v>76</v>
      </c>
      <c r="D80" s="1" t="s">
        <v>51</v>
      </c>
      <c r="E80" s="1" t="s">
        <v>57</v>
      </c>
      <c r="F80" s="1" t="s">
        <v>53</v>
      </c>
      <c r="G80" s="1">
        <v>14</v>
      </c>
      <c r="H80" s="1">
        <v>193</v>
      </c>
      <c r="I80" s="1">
        <v>115</v>
      </c>
      <c r="J80" s="1">
        <v>2702</v>
      </c>
      <c r="K80" s="6">
        <f t="shared" si="10"/>
        <v>1092</v>
      </c>
      <c r="L80" s="7">
        <f t="shared" si="11"/>
        <v>40.414507772020727</v>
      </c>
      <c r="M80" s="8">
        <f t="shared" si="12"/>
        <v>2024</v>
      </c>
      <c r="N80" t="str">
        <f t="shared" si="13"/>
        <v>March</v>
      </c>
      <c r="O80" t="str">
        <f t="shared" si="14"/>
        <v>Excellent</v>
      </c>
    </row>
    <row r="81" spans="1:15" ht="15" customHeight="1" x14ac:dyDescent="0.25">
      <c r="A81" s="1" t="s">
        <v>150</v>
      </c>
      <c r="B81" s="5">
        <v>45607</v>
      </c>
      <c r="C81" s="1" t="s">
        <v>67</v>
      </c>
      <c r="D81" s="1" t="s">
        <v>61</v>
      </c>
      <c r="E81" s="1" t="s">
        <v>64</v>
      </c>
      <c r="F81" s="1" t="s">
        <v>65</v>
      </c>
      <c r="G81" s="1">
        <v>10</v>
      </c>
      <c r="H81" s="1">
        <v>279</v>
      </c>
      <c r="I81" s="1">
        <v>167</v>
      </c>
      <c r="J81" s="1">
        <v>2790</v>
      </c>
      <c r="K81" s="6">
        <f t="shared" si="10"/>
        <v>1120</v>
      </c>
      <c r="L81" s="7">
        <f t="shared" si="11"/>
        <v>40.143369175627242</v>
      </c>
      <c r="M81" s="8">
        <f t="shared" si="12"/>
        <v>2024</v>
      </c>
      <c r="N81" t="str">
        <f t="shared" si="13"/>
        <v>November</v>
      </c>
      <c r="O81" t="str">
        <f t="shared" si="14"/>
        <v>Excellent</v>
      </c>
    </row>
    <row r="82" spans="1:15" ht="15" customHeight="1" x14ac:dyDescent="0.25">
      <c r="A82" s="1" t="s">
        <v>151</v>
      </c>
      <c r="B82" s="5">
        <v>45243</v>
      </c>
      <c r="C82" s="1" t="s">
        <v>72</v>
      </c>
      <c r="D82" s="1" t="s">
        <v>73</v>
      </c>
      <c r="E82" s="1" t="s">
        <v>64</v>
      </c>
      <c r="F82" s="1" t="s">
        <v>69</v>
      </c>
      <c r="G82" s="1">
        <v>10</v>
      </c>
      <c r="H82" s="1">
        <v>303</v>
      </c>
      <c r="I82" s="1">
        <v>181</v>
      </c>
      <c r="J82" s="1">
        <v>3030</v>
      </c>
      <c r="K82" s="6">
        <f t="shared" si="10"/>
        <v>1220</v>
      </c>
      <c r="L82" s="7">
        <f t="shared" si="11"/>
        <v>40.264026402640262</v>
      </c>
      <c r="M82" s="8">
        <f t="shared" si="12"/>
        <v>2023</v>
      </c>
      <c r="N82" t="str">
        <f t="shared" si="13"/>
        <v>November</v>
      </c>
      <c r="O82" t="str">
        <f t="shared" si="14"/>
        <v>Excellent</v>
      </c>
    </row>
    <row r="83" spans="1:15" ht="15" customHeight="1" x14ac:dyDescent="0.25">
      <c r="A83" s="1" t="s">
        <v>152</v>
      </c>
      <c r="B83" s="5">
        <v>45057</v>
      </c>
      <c r="C83" s="1" t="s">
        <v>88</v>
      </c>
      <c r="D83" s="1" t="s">
        <v>61</v>
      </c>
      <c r="E83" s="1" t="s">
        <v>78</v>
      </c>
      <c r="F83" s="1" t="s">
        <v>69</v>
      </c>
      <c r="G83" s="1">
        <v>6</v>
      </c>
      <c r="H83" s="1">
        <v>335</v>
      </c>
      <c r="I83" s="1">
        <v>201</v>
      </c>
      <c r="J83" s="1">
        <v>2010</v>
      </c>
      <c r="K83" s="6">
        <f t="shared" si="10"/>
        <v>804</v>
      </c>
      <c r="L83" s="7">
        <f t="shared" si="11"/>
        <v>40</v>
      </c>
      <c r="M83" s="8">
        <f t="shared" si="12"/>
        <v>2023</v>
      </c>
      <c r="N83" t="str">
        <f t="shared" si="13"/>
        <v>May</v>
      </c>
      <c r="O83" t="str">
        <f t="shared" si="14"/>
        <v>Excellent</v>
      </c>
    </row>
    <row r="84" spans="1:15" ht="15" customHeight="1" x14ac:dyDescent="0.25">
      <c r="A84" s="1" t="s">
        <v>153</v>
      </c>
      <c r="B84" s="5">
        <v>45509</v>
      </c>
      <c r="C84" s="1" t="s">
        <v>99</v>
      </c>
      <c r="D84" s="1" t="s">
        <v>61</v>
      </c>
      <c r="E84" s="1" t="s">
        <v>78</v>
      </c>
      <c r="F84" s="1" t="s">
        <v>55</v>
      </c>
      <c r="G84" s="1">
        <v>1</v>
      </c>
      <c r="H84" s="1">
        <v>175</v>
      </c>
      <c r="I84" s="1">
        <v>105</v>
      </c>
      <c r="J84" s="1">
        <v>175</v>
      </c>
      <c r="K84" s="6">
        <f t="shared" si="10"/>
        <v>70</v>
      </c>
      <c r="L84" s="7">
        <f t="shared" si="11"/>
        <v>40</v>
      </c>
      <c r="M84" s="8">
        <f t="shared" si="12"/>
        <v>2024</v>
      </c>
      <c r="N84" t="str">
        <f t="shared" si="13"/>
        <v>August</v>
      </c>
      <c r="O84" t="str">
        <f t="shared" si="14"/>
        <v>Excellent</v>
      </c>
    </row>
    <row r="85" spans="1:15" ht="15" customHeight="1" x14ac:dyDescent="0.25">
      <c r="A85" s="1" t="s">
        <v>154</v>
      </c>
      <c r="B85" s="5">
        <v>45220</v>
      </c>
      <c r="C85" s="1" t="s">
        <v>88</v>
      </c>
      <c r="D85" s="1" t="s">
        <v>61</v>
      </c>
      <c r="E85" s="1" t="s">
        <v>78</v>
      </c>
      <c r="F85" s="1" t="s">
        <v>55</v>
      </c>
      <c r="G85" s="1">
        <v>20</v>
      </c>
      <c r="H85" s="1">
        <v>355</v>
      </c>
      <c r="I85" s="1">
        <v>213</v>
      </c>
      <c r="J85" s="1">
        <v>7100</v>
      </c>
      <c r="K85" s="6">
        <f t="shared" si="10"/>
        <v>2840</v>
      </c>
      <c r="L85" s="7">
        <f t="shared" si="11"/>
        <v>40</v>
      </c>
      <c r="M85" s="8">
        <f t="shared" si="12"/>
        <v>2023</v>
      </c>
      <c r="N85" t="str">
        <f t="shared" si="13"/>
        <v>October</v>
      </c>
      <c r="O85" t="str">
        <f t="shared" si="14"/>
        <v>Excellent</v>
      </c>
    </row>
    <row r="86" spans="1:15" ht="15" customHeight="1" x14ac:dyDescent="0.25">
      <c r="A86" s="1" t="s">
        <v>155</v>
      </c>
      <c r="B86" s="5">
        <v>45256</v>
      </c>
      <c r="C86" s="1" t="s">
        <v>86</v>
      </c>
      <c r="D86" s="1" t="s">
        <v>73</v>
      </c>
      <c r="E86" s="1" t="s">
        <v>78</v>
      </c>
      <c r="F86" s="1" t="s">
        <v>69</v>
      </c>
      <c r="G86" s="1">
        <v>7</v>
      </c>
      <c r="H86" s="1">
        <v>281</v>
      </c>
      <c r="I86" s="1">
        <v>168</v>
      </c>
      <c r="J86" s="1">
        <v>1967</v>
      </c>
      <c r="K86" s="6">
        <f t="shared" si="10"/>
        <v>791</v>
      </c>
      <c r="L86" s="7">
        <f t="shared" si="11"/>
        <v>40.213523131672595</v>
      </c>
      <c r="M86" s="8">
        <f t="shared" si="12"/>
        <v>2023</v>
      </c>
      <c r="N86" t="str">
        <f t="shared" si="13"/>
        <v>November</v>
      </c>
      <c r="O86" t="str">
        <f t="shared" si="14"/>
        <v>Excellent</v>
      </c>
    </row>
    <row r="87" spans="1:15" ht="15" customHeight="1" x14ac:dyDescent="0.25">
      <c r="A87" s="1" t="s">
        <v>156</v>
      </c>
      <c r="B87" s="5">
        <v>45411</v>
      </c>
      <c r="C87" s="1" t="s">
        <v>80</v>
      </c>
      <c r="D87" s="1" t="s">
        <v>51</v>
      </c>
      <c r="E87" s="1" t="s">
        <v>52</v>
      </c>
      <c r="F87" s="1" t="s">
        <v>53</v>
      </c>
      <c r="G87" s="1">
        <v>17</v>
      </c>
      <c r="H87" s="1">
        <v>1409</v>
      </c>
      <c r="I87" s="1">
        <v>845</v>
      </c>
      <c r="J87" s="1">
        <v>23953</v>
      </c>
      <c r="K87" s="6">
        <f t="shared" si="10"/>
        <v>9588</v>
      </c>
      <c r="L87" s="7">
        <f t="shared" si="11"/>
        <v>40.028388928317952</v>
      </c>
      <c r="M87" s="8">
        <f t="shared" si="12"/>
        <v>2024</v>
      </c>
      <c r="N87" t="str">
        <f t="shared" si="13"/>
        <v>April</v>
      </c>
      <c r="O87" t="str">
        <f t="shared" si="14"/>
        <v>Excellent</v>
      </c>
    </row>
    <row r="88" spans="1:15" ht="15" customHeight="1" x14ac:dyDescent="0.25">
      <c r="A88" s="1" t="s">
        <v>157</v>
      </c>
      <c r="B88" s="5">
        <v>45575</v>
      </c>
      <c r="C88" s="1" t="s">
        <v>63</v>
      </c>
      <c r="D88" s="1" t="s">
        <v>61</v>
      </c>
      <c r="E88" s="1" t="s">
        <v>64</v>
      </c>
      <c r="F88" s="1" t="s">
        <v>65</v>
      </c>
      <c r="G88" s="1">
        <v>8</v>
      </c>
      <c r="H88" s="1">
        <v>364</v>
      </c>
      <c r="I88" s="1">
        <v>218</v>
      </c>
      <c r="J88" s="1">
        <v>2912</v>
      </c>
      <c r="K88" s="6">
        <f t="shared" si="10"/>
        <v>1168</v>
      </c>
      <c r="L88" s="7">
        <f t="shared" si="11"/>
        <v>40.109890109890109</v>
      </c>
      <c r="M88" s="8">
        <f t="shared" si="12"/>
        <v>2024</v>
      </c>
      <c r="N88" t="str">
        <f t="shared" si="13"/>
        <v>October</v>
      </c>
      <c r="O88" t="str">
        <f t="shared" si="14"/>
        <v>Excellent</v>
      </c>
    </row>
    <row r="89" spans="1:15" ht="15" customHeight="1" x14ac:dyDescent="0.25">
      <c r="A89" s="1" t="s">
        <v>158</v>
      </c>
      <c r="B89" s="5">
        <v>45244</v>
      </c>
      <c r="C89" s="1" t="s">
        <v>88</v>
      </c>
      <c r="D89" s="1" t="s">
        <v>61</v>
      </c>
      <c r="E89" s="1" t="s">
        <v>57</v>
      </c>
      <c r="F89" s="1" t="s">
        <v>58</v>
      </c>
      <c r="G89" s="1">
        <v>1</v>
      </c>
      <c r="H89" s="1">
        <v>43</v>
      </c>
      <c r="I89" s="1">
        <v>25</v>
      </c>
      <c r="J89" s="1">
        <v>43</v>
      </c>
      <c r="K89" s="6">
        <f t="shared" si="10"/>
        <v>18</v>
      </c>
      <c r="L89" s="7">
        <f t="shared" si="11"/>
        <v>41.860465116279073</v>
      </c>
      <c r="M89" s="8">
        <f t="shared" si="12"/>
        <v>2023</v>
      </c>
      <c r="N89" t="str">
        <f t="shared" si="13"/>
        <v>November</v>
      </c>
      <c r="O89" t="str">
        <f t="shared" si="14"/>
        <v>Excellent</v>
      </c>
    </row>
    <row r="90" spans="1:15" ht="15" customHeight="1" x14ac:dyDescent="0.25">
      <c r="A90" s="1" t="s">
        <v>159</v>
      </c>
      <c r="B90" s="5">
        <v>45177</v>
      </c>
      <c r="C90" s="1" t="s">
        <v>86</v>
      </c>
      <c r="D90" s="1" t="s">
        <v>73</v>
      </c>
      <c r="E90" s="1" t="s">
        <v>52</v>
      </c>
      <c r="F90" s="1" t="s">
        <v>69</v>
      </c>
      <c r="G90" s="1">
        <v>14</v>
      </c>
      <c r="H90" s="1">
        <v>473</v>
      </c>
      <c r="I90" s="1">
        <v>283</v>
      </c>
      <c r="J90" s="1">
        <v>6622</v>
      </c>
      <c r="K90" s="6">
        <f t="shared" si="10"/>
        <v>2660</v>
      </c>
      <c r="L90" s="7">
        <f t="shared" si="11"/>
        <v>40.169133192389005</v>
      </c>
      <c r="M90" s="8">
        <f t="shared" si="12"/>
        <v>2023</v>
      </c>
      <c r="N90" t="str">
        <f t="shared" si="13"/>
        <v>September</v>
      </c>
      <c r="O90" t="str">
        <f t="shared" si="14"/>
        <v>Excellent</v>
      </c>
    </row>
    <row r="91" spans="1:15" ht="15" customHeight="1" x14ac:dyDescent="0.25">
      <c r="A91" s="1" t="s">
        <v>160</v>
      </c>
      <c r="B91" s="5">
        <v>45571</v>
      </c>
      <c r="C91" s="1" t="s">
        <v>63</v>
      </c>
      <c r="D91" s="1" t="s">
        <v>61</v>
      </c>
      <c r="E91" s="1" t="s">
        <v>57</v>
      </c>
      <c r="F91" s="1" t="s">
        <v>69</v>
      </c>
      <c r="G91" s="1">
        <v>16</v>
      </c>
      <c r="H91" s="1">
        <v>224</v>
      </c>
      <c r="I91" s="1">
        <v>134</v>
      </c>
      <c r="J91" s="1">
        <v>3584</v>
      </c>
      <c r="K91" s="6">
        <f t="shared" si="10"/>
        <v>1440</v>
      </c>
      <c r="L91" s="7">
        <f t="shared" si="11"/>
        <v>40.178571428571431</v>
      </c>
      <c r="M91" s="8">
        <f t="shared" si="12"/>
        <v>2024</v>
      </c>
      <c r="N91" t="str">
        <f t="shared" si="13"/>
        <v>October</v>
      </c>
      <c r="O91" t="str">
        <f t="shared" si="14"/>
        <v>Excellent</v>
      </c>
    </row>
    <row r="92" spans="1:15" ht="15" customHeight="1" x14ac:dyDescent="0.25">
      <c r="A92" s="1" t="s">
        <v>161</v>
      </c>
      <c r="B92" s="5">
        <v>45176</v>
      </c>
      <c r="C92" s="1" t="s">
        <v>80</v>
      </c>
      <c r="D92" s="1" t="s">
        <v>51</v>
      </c>
      <c r="E92" s="1" t="s">
        <v>52</v>
      </c>
      <c r="F92" s="1" t="s">
        <v>65</v>
      </c>
      <c r="G92" s="1">
        <v>14</v>
      </c>
      <c r="H92" s="1">
        <v>498</v>
      </c>
      <c r="I92" s="1">
        <v>298</v>
      </c>
      <c r="J92" s="1">
        <v>6972</v>
      </c>
      <c r="K92" s="6">
        <f t="shared" si="10"/>
        <v>2800</v>
      </c>
      <c r="L92" s="7">
        <f t="shared" si="11"/>
        <v>40.160642570281126</v>
      </c>
      <c r="M92" s="8">
        <f t="shared" si="12"/>
        <v>2023</v>
      </c>
      <c r="N92" t="str">
        <f t="shared" si="13"/>
        <v>September</v>
      </c>
      <c r="O92" t="str">
        <f t="shared" si="14"/>
        <v>Excellent</v>
      </c>
    </row>
    <row r="93" spans="1:15" ht="15" customHeight="1" x14ac:dyDescent="0.25">
      <c r="A93" s="1" t="s">
        <v>162</v>
      </c>
      <c r="B93" s="5">
        <v>45107</v>
      </c>
      <c r="C93" s="1" t="s">
        <v>60</v>
      </c>
      <c r="D93" s="1" t="s">
        <v>61</v>
      </c>
      <c r="E93" s="1" t="s">
        <v>78</v>
      </c>
      <c r="F93" s="1" t="s">
        <v>65</v>
      </c>
      <c r="G93" s="1">
        <v>18</v>
      </c>
      <c r="H93" s="1">
        <v>147</v>
      </c>
      <c r="I93" s="1">
        <v>88</v>
      </c>
      <c r="J93" s="1">
        <v>2646</v>
      </c>
      <c r="K93" s="6">
        <f t="shared" si="10"/>
        <v>1062</v>
      </c>
      <c r="L93" s="7">
        <f t="shared" si="11"/>
        <v>40.136054421768705</v>
      </c>
      <c r="M93" s="8">
        <f t="shared" si="12"/>
        <v>2023</v>
      </c>
      <c r="N93" t="str">
        <f t="shared" si="13"/>
        <v>June</v>
      </c>
      <c r="O93" t="str">
        <f t="shared" si="14"/>
        <v>Excellent</v>
      </c>
    </row>
    <row r="94" spans="1:15" ht="15" customHeight="1" x14ac:dyDescent="0.25">
      <c r="A94" s="1" t="s">
        <v>163</v>
      </c>
      <c r="B94" s="5">
        <v>45051</v>
      </c>
      <c r="C94" s="1" t="s">
        <v>86</v>
      </c>
      <c r="D94" s="1" t="s">
        <v>73</v>
      </c>
      <c r="E94" s="1" t="s">
        <v>57</v>
      </c>
      <c r="F94" s="1" t="s">
        <v>69</v>
      </c>
      <c r="G94" s="1">
        <v>17</v>
      </c>
      <c r="H94" s="1">
        <v>306</v>
      </c>
      <c r="I94" s="1">
        <v>183</v>
      </c>
      <c r="J94" s="1">
        <v>5202</v>
      </c>
      <c r="K94" s="6">
        <f t="shared" si="10"/>
        <v>2091</v>
      </c>
      <c r="L94" s="7">
        <f t="shared" si="11"/>
        <v>40.196078431372548</v>
      </c>
      <c r="M94" s="8">
        <f t="shared" si="12"/>
        <v>2023</v>
      </c>
      <c r="N94" t="str">
        <f t="shared" si="13"/>
        <v>May</v>
      </c>
      <c r="O94" t="str">
        <f t="shared" si="14"/>
        <v>Excellent</v>
      </c>
    </row>
    <row r="95" spans="1:15" ht="15" customHeight="1" x14ac:dyDescent="0.25">
      <c r="A95" s="1" t="s">
        <v>164</v>
      </c>
      <c r="B95" s="5">
        <v>45536</v>
      </c>
      <c r="C95" s="1" t="s">
        <v>67</v>
      </c>
      <c r="D95" s="1" t="s">
        <v>61</v>
      </c>
      <c r="E95" s="1" t="s">
        <v>78</v>
      </c>
      <c r="F95" s="1" t="s">
        <v>55</v>
      </c>
      <c r="G95" s="1">
        <v>17</v>
      </c>
      <c r="H95" s="1">
        <v>238</v>
      </c>
      <c r="I95" s="1">
        <v>142</v>
      </c>
      <c r="J95" s="1">
        <v>4046</v>
      </c>
      <c r="K95" s="6">
        <f t="shared" si="10"/>
        <v>1632</v>
      </c>
      <c r="L95" s="7">
        <f t="shared" si="11"/>
        <v>40.336134453781511</v>
      </c>
      <c r="M95" s="8">
        <f t="shared" si="12"/>
        <v>2024</v>
      </c>
      <c r="N95" t="str">
        <f t="shared" si="13"/>
        <v>September</v>
      </c>
      <c r="O95" t="str">
        <f t="shared" si="14"/>
        <v>Excellent</v>
      </c>
    </row>
    <row r="96" spans="1:15" ht="15" customHeight="1" x14ac:dyDescent="0.25">
      <c r="A96" s="1" t="s">
        <v>165</v>
      </c>
      <c r="B96" s="5">
        <v>45488</v>
      </c>
      <c r="C96" s="1" t="s">
        <v>86</v>
      </c>
      <c r="D96" s="1" t="s">
        <v>73</v>
      </c>
      <c r="E96" s="1" t="s">
        <v>57</v>
      </c>
      <c r="F96" s="1" t="s">
        <v>69</v>
      </c>
      <c r="G96" s="1">
        <v>15</v>
      </c>
      <c r="H96" s="1">
        <v>152</v>
      </c>
      <c r="I96" s="1">
        <v>91</v>
      </c>
      <c r="J96" s="1">
        <v>2280</v>
      </c>
      <c r="K96" s="6">
        <f t="shared" si="10"/>
        <v>915</v>
      </c>
      <c r="L96" s="7">
        <f t="shared" si="11"/>
        <v>40.131578947368425</v>
      </c>
      <c r="M96" s="8">
        <f t="shared" si="12"/>
        <v>2024</v>
      </c>
      <c r="N96" t="str">
        <f t="shared" si="13"/>
        <v>July</v>
      </c>
      <c r="O96" t="str">
        <f t="shared" si="14"/>
        <v>Excellent</v>
      </c>
    </row>
    <row r="97" spans="1:15" ht="15" customHeight="1" x14ac:dyDescent="0.25">
      <c r="A97" s="1" t="s">
        <v>166</v>
      </c>
      <c r="B97" s="5">
        <v>45180</v>
      </c>
      <c r="C97" s="1" t="s">
        <v>99</v>
      </c>
      <c r="D97" s="1" t="s">
        <v>61</v>
      </c>
      <c r="E97" s="1" t="s">
        <v>78</v>
      </c>
      <c r="F97" s="1" t="s">
        <v>58</v>
      </c>
      <c r="G97" s="1">
        <v>9</v>
      </c>
      <c r="H97" s="1">
        <v>245</v>
      </c>
      <c r="I97" s="1">
        <v>147</v>
      </c>
      <c r="J97" s="1">
        <v>2205</v>
      </c>
      <c r="K97" s="6">
        <f t="shared" si="10"/>
        <v>882</v>
      </c>
      <c r="L97" s="7">
        <f t="shared" si="11"/>
        <v>40</v>
      </c>
      <c r="M97" s="8">
        <f t="shared" si="12"/>
        <v>2023</v>
      </c>
      <c r="N97" t="str">
        <f t="shared" si="13"/>
        <v>September</v>
      </c>
      <c r="O97" t="str">
        <f t="shared" si="14"/>
        <v>Excellent</v>
      </c>
    </row>
    <row r="98" spans="1:15" ht="15" customHeight="1" x14ac:dyDescent="0.25">
      <c r="A98" s="1" t="s">
        <v>167</v>
      </c>
      <c r="B98" s="5">
        <v>45006</v>
      </c>
      <c r="C98" s="1" t="s">
        <v>99</v>
      </c>
      <c r="D98" s="1" t="s">
        <v>61</v>
      </c>
      <c r="E98" s="1" t="s">
        <v>57</v>
      </c>
      <c r="F98" s="1" t="s">
        <v>53</v>
      </c>
      <c r="G98" s="1">
        <v>11</v>
      </c>
      <c r="H98" s="1">
        <v>183</v>
      </c>
      <c r="I98" s="1">
        <v>109</v>
      </c>
      <c r="J98" s="1">
        <v>2013</v>
      </c>
      <c r="K98" s="6">
        <f t="shared" ref="K98:K129" si="15">J98-(G98*I98)</f>
        <v>814</v>
      </c>
      <c r="L98" s="7">
        <f t="shared" ref="L98:L129" si="16">(K98/J98)*100</f>
        <v>40.437158469945359</v>
      </c>
      <c r="M98" s="8">
        <f t="shared" ref="M98:M129" si="17">YEAR(B98)</f>
        <v>2023</v>
      </c>
      <c r="N98" t="str">
        <f t="shared" ref="N98:N129" si="18">TEXT(B98,"MMMM")</f>
        <v>March</v>
      </c>
      <c r="O98" t="str">
        <f t="shared" ref="O98:O129" si="19">IF(L98&gt;35,"Excellent",IF(L98&gt;25,"Good","Average"))</f>
        <v>Excellent</v>
      </c>
    </row>
    <row r="99" spans="1:15" ht="15" customHeight="1" x14ac:dyDescent="0.25">
      <c r="A99" s="1" t="s">
        <v>168</v>
      </c>
      <c r="B99" s="5">
        <v>45480</v>
      </c>
      <c r="C99" s="1" t="s">
        <v>50</v>
      </c>
      <c r="D99" s="1" t="s">
        <v>51</v>
      </c>
      <c r="E99" s="1" t="s">
        <v>57</v>
      </c>
      <c r="F99" s="1" t="s">
        <v>58</v>
      </c>
      <c r="G99" s="1">
        <v>8</v>
      </c>
      <c r="H99" s="1">
        <v>834</v>
      </c>
      <c r="I99" s="1">
        <v>500</v>
      </c>
      <c r="J99" s="1">
        <v>6672</v>
      </c>
      <c r="K99" s="6">
        <f t="shared" si="15"/>
        <v>2672</v>
      </c>
      <c r="L99" s="7">
        <f t="shared" si="16"/>
        <v>40.047961630695447</v>
      </c>
      <c r="M99" s="8">
        <f t="shared" si="17"/>
        <v>2024</v>
      </c>
      <c r="N99" t="str">
        <f t="shared" si="18"/>
        <v>July</v>
      </c>
      <c r="O99" t="str">
        <f t="shared" si="19"/>
        <v>Excellent</v>
      </c>
    </row>
    <row r="100" spans="1:15" ht="15" customHeight="1" x14ac:dyDescent="0.25">
      <c r="A100" s="1" t="s">
        <v>169</v>
      </c>
      <c r="B100" s="5">
        <v>45637</v>
      </c>
      <c r="C100" s="1" t="s">
        <v>80</v>
      </c>
      <c r="D100" s="1" t="s">
        <v>51</v>
      </c>
      <c r="E100" s="1" t="s">
        <v>57</v>
      </c>
      <c r="F100" s="1" t="s">
        <v>65</v>
      </c>
      <c r="G100" s="1">
        <v>14</v>
      </c>
      <c r="H100" s="1">
        <v>884</v>
      </c>
      <c r="I100" s="1">
        <v>530</v>
      </c>
      <c r="J100" s="1">
        <v>12376</v>
      </c>
      <c r="K100" s="6">
        <f t="shared" si="15"/>
        <v>4956</v>
      </c>
      <c r="L100" s="7">
        <f t="shared" si="16"/>
        <v>40.04524886877828</v>
      </c>
      <c r="M100" s="8">
        <f t="shared" si="17"/>
        <v>2024</v>
      </c>
      <c r="N100" t="str">
        <f t="shared" si="18"/>
        <v>December</v>
      </c>
      <c r="O100" t="str">
        <f t="shared" si="19"/>
        <v>Excellent</v>
      </c>
    </row>
    <row r="101" spans="1:15" ht="15" customHeight="1" x14ac:dyDescent="0.25">
      <c r="A101" s="1" t="s">
        <v>170</v>
      </c>
      <c r="B101" s="5">
        <v>45265</v>
      </c>
      <c r="C101" s="1" t="s">
        <v>60</v>
      </c>
      <c r="D101" s="1" t="s">
        <v>61</v>
      </c>
      <c r="E101" s="1" t="s">
        <v>78</v>
      </c>
      <c r="F101" s="1" t="s">
        <v>69</v>
      </c>
      <c r="G101" s="1">
        <v>2</v>
      </c>
      <c r="H101" s="1">
        <v>125</v>
      </c>
      <c r="I101" s="1">
        <v>75</v>
      </c>
      <c r="J101" s="1">
        <v>250</v>
      </c>
      <c r="K101" s="6">
        <f t="shared" si="15"/>
        <v>100</v>
      </c>
      <c r="L101" s="7">
        <f t="shared" si="16"/>
        <v>40</v>
      </c>
      <c r="M101" s="8">
        <f t="shared" si="17"/>
        <v>2023</v>
      </c>
      <c r="N101" t="str">
        <f t="shared" si="18"/>
        <v>December</v>
      </c>
      <c r="O101" t="str">
        <f t="shared" si="19"/>
        <v>Excellent</v>
      </c>
    </row>
    <row r="102" spans="1:15" ht="15" customHeight="1" x14ac:dyDescent="0.25">
      <c r="A102" s="1" t="s">
        <v>171</v>
      </c>
      <c r="B102" s="5">
        <v>45357</v>
      </c>
      <c r="C102" s="1" t="s">
        <v>72</v>
      </c>
      <c r="D102" s="1" t="s">
        <v>73</v>
      </c>
      <c r="E102" s="1" t="s">
        <v>52</v>
      </c>
      <c r="F102" s="1" t="s">
        <v>55</v>
      </c>
      <c r="G102" s="1">
        <v>13</v>
      </c>
      <c r="H102" s="1">
        <v>264</v>
      </c>
      <c r="I102" s="1">
        <v>158</v>
      </c>
      <c r="J102" s="1">
        <v>3432</v>
      </c>
      <c r="K102" s="6">
        <f t="shared" si="15"/>
        <v>1378</v>
      </c>
      <c r="L102" s="7">
        <f t="shared" si="16"/>
        <v>40.151515151515149</v>
      </c>
      <c r="M102" s="8">
        <f t="shared" si="17"/>
        <v>2024</v>
      </c>
      <c r="N102" t="str">
        <f t="shared" si="18"/>
        <v>March</v>
      </c>
      <c r="O102" t="str">
        <f t="shared" si="19"/>
        <v>Excellent</v>
      </c>
    </row>
    <row r="103" spans="1:15" ht="15" customHeight="1" x14ac:dyDescent="0.25">
      <c r="A103" s="1" t="s">
        <v>172</v>
      </c>
      <c r="B103" s="5">
        <v>44933</v>
      </c>
      <c r="C103" s="1" t="s">
        <v>67</v>
      </c>
      <c r="D103" s="1" t="s">
        <v>61</v>
      </c>
      <c r="E103" s="1" t="s">
        <v>64</v>
      </c>
      <c r="F103" s="1" t="s">
        <v>69</v>
      </c>
      <c r="G103" s="1">
        <v>14</v>
      </c>
      <c r="H103" s="1">
        <v>295</v>
      </c>
      <c r="I103" s="1">
        <v>177</v>
      </c>
      <c r="J103" s="1">
        <v>4130</v>
      </c>
      <c r="K103" s="6">
        <f t="shared" si="15"/>
        <v>1652</v>
      </c>
      <c r="L103" s="7">
        <f t="shared" si="16"/>
        <v>40</v>
      </c>
      <c r="M103" s="8">
        <f t="shared" si="17"/>
        <v>2023</v>
      </c>
      <c r="N103" t="str">
        <f t="shared" si="18"/>
        <v>January</v>
      </c>
      <c r="O103" t="str">
        <f t="shared" si="19"/>
        <v>Excellent</v>
      </c>
    </row>
    <row r="104" spans="1:15" ht="15" customHeight="1" x14ac:dyDescent="0.25">
      <c r="A104" s="1" t="s">
        <v>173</v>
      </c>
      <c r="B104" s="5">
        <v>45486</v>
      </c>
      <c r="C104" s="1" t="s">
        <v>63</v>
      </c>
      <c r="D104" s="1" t="s">
        <v>61</v>
      </c>
      <c r="E104" s="1" t="s">
        <v>57</v>
      </c>
      <c r="F104" s="1" t="s">
        <v>69</v>
      </c>
      <c r="G104" s="1">
        <v>8</v>
      </c>
      <c r="H104" s="1">
        <v>159</v>
      </c>
      <c r="I104" s="1">
        <v>95</v>
      </c>
      <c r="J104" s="1">
        <v>1272</v>
      </c>
      <c r="K104" s="6">
        <f t="shared" si="15"/>
        <v>512</v>
      </c>
      <c r="L104" s="7">
        <f t="shared" si="16"/>
        <v>40.25157232704403</v>
      </c>
      <c r="M104" s="8">
        <f t="shared" si="17"/>
        <v>2024</v>
      </c>
      <c r="N104" t="str">
        <f t="shared" si="18"/>
        <v>July</v>
      </c>
      <c r="O104" t="str">
        <f t="shared" si="19"/>
        <v>Excellent</v>
      </c>
    </row>
    <row r="105" spans="1:15" ht="15" customHeight="1" x14ac:dyDescent="0.25">
      <c r="A105" s="1" t="s">
        <v>174</v>
      </c>
      <c r="B105" s="5">
        <v>45373</v>
      </c>
      <c r="C105" s="1" t="s">
        <v>86</v>
      </c>
      <c r="D105" s="1" t="s">
        <v>73</v>
      </c>
      <c r="E105" s="1" t="s">
        <v>52</v>
      </c>
      <c r="F105" s="1" t="s">
        <v>69</v>
      </c>
      <c r="G105" s="1">
        <v>11</v>
      </c>
      <c r="H105" s="1">
        <v>362</v>
      </c>
      <c r="I105" s="1">
        <v>217</v>
      </c>
      <c r="J105" s="1">
        <v>3982</v>
      </c>
      <c r="K105" s="6">
        <f t="shared" si="15"/>
        <v>1595</v>
      </c>
      <c r="L105" s="7">
        <f t="shared" si="16"/>
        <v>40.055248618784525</v>
      </c>
      <c r="M105" s="8">
        <f t="shared" si="17"/>
        <v>2024</v>
      </c>
      <c r="N105" t="str">
        <f t="shared" si="18"/>
        <v>March</v>
      </c>
      <c r="O105" t="str">
        <f t="shared" si="19"/>
        <v>Excellent</v>
      </c>
    </row>
    <row r="106" spans="1:15" ht="15" customHeight="1" x14ac:dyDescent="0.25">
      <c r="A106" s="1" t="s">
        <v>175</v>
      </c>
      <c r="B106" s="5">
        <v>45622</v>
      </c>
      <c r="C106" s="1" t="s">
        <v>72</v>
      </c>
      <c r="D106" s="1" t="s">
        <v>73</v>
      </c>
      <c r="E106" s="1" t="s">
        <v>57</v>
      </c>
      <c r="F106" s="1" t="s">
        <v>69</v>
      </c>
      <c r="G106" s="1">
        <v>5</v>
      </c>
      <c r="H106" s="1">
        <v>338</v>
      </c>
      <c r="I106" s="1">
        <v>202</v>
      </c>
      <c r="J106" s="1">
        <v>1690</v>
      </c>
      <c r="K106" s="6">
        <f t="shared" si="15"/>
        <v>680</v>
      </c>
      <c r="L106" s="7">
        <f t="shared" si="16"/>
        <v>40.236686390532547</v>
      </c>
      <c r="M106" s="8">
        <f t="shared" si="17"/>
        <v>2024</v>
      </c>
      <c r="N106" t="str">
        <f t="shared" si="18"/>
        <v>November</v>
      </c>
      <c r="O106" t="str">
        <f t="shared" si="19"/>
        <v>Excellent</v>
      </c>
    </row>
    <row r="107" spans="1:15" ht="15" customHeight="1" x14ac:dyDescent="0.25">
      <c r="A107" s="1" t="s">
        <v>176</v>
      </c>
      <c r="B107" s="5">
        <v>45473</v>
      </c>
      <c r="C107" s="1" t="s">
        <v>76</v>
      </c>
      <c r="D107" s="1" t="s">
        <v>51</v>
      </c>
      <c r="E107" s="1" t="s">
        <v>78</v>
      </c>
      <c r="F107" s="1" t="s">
        <v>55</v>
      </c>
      <c r="G107" s="1">
        <v>19</v>
      </c>
      <c r="H107" s="1">
        <v>1407</v>
      </c>
      <c r="I107" s="1">
        <v>844</v>
      </c>
      <c r="J107" s="1">
        <v>26733</v>
      </c>
      <c r="K107" s="6">
        <f t="shared" si="15"/>
        <v>10697</v>
      </c>
      <c r="L107" s="7">
        <f t="shared" si="16"/>
        <v>40.014214641080315</v>
      </c>
      <c r="M107" s="8">
        <f t="shared" si="17"/>
        <v>2024</v>
      </c>
      <c r="N107" t="str">
        <f t="shared" si="18"/>
        <v>June</v>
      </c>
      <c r="O107" t="str">
        <f t="shared" si="19"/>
        <v>Excellent</v>
      </c>
    </row>
    <row r="108" spans="1:15" ht="15" customHeight="1" x14ac:dyDescent="0.25">
      <c r="A108" s="1" t="s">
        <v>177</v>
      </c>
      <c r="B108" s="5">
        <v>44954</v>
      </c>
      <c r="C108" s="1" t="s">
        <v>50</v>
      </c>
      <c r="D108" s="1" t="s">
        <v>51</v>
      </c>
      <c r="E108" s="1" t="s">
        <v>78</v>
      </c>
      <c r="F108" s="1" t="s">
        <v>58</v>
      </c>
      <c r="G108" s="1">
        <v>15</v>
      </c>
      <c r="H108" s="1">
        <v>422</v>
      </c>
      <c r="I108" s="1">
        <v>253</v>
      </c>
      <c r="J108" s="1">
        <v>6330</v>
      </c>
      <c r="K108" s="6">
        <f t="shared" si="15"/>
        <v>2535</v>
      </c>
      <c r="L108" s="7">
        <f t="shared" si="16"/>
        <v>40.047393364928915</v>
      </c>
      <c r="M108" s="8">
        <f t="shared" si="17"/>
        <v>2023</v>
      </c>
      <c r="N108" t="str">
        <f t="shared" si="18"/>
        <v>January</v>
      </c>
      <c r="O108" t="str">
        <f t="shared" si="19"/>
        <v>Excellent</v>
      </c>
    </row>
    <row r="109" spans="1:15" ht="15" customHeight="1" x14ac:dyDescent="0.25">
      <c r="A109" s="1" t="s">
        <v>178</v>
      </c>
      <c r="B109" s="5">
        <v>44978</v>
      </c>
      <c r="C109" s="1" t="s">
        <v>99</v>
      </c>
      <c r="D109" s="1" t="s">
        <v>61</v>
      </c>
      <c r="E109" s="1" t="s">
        <v>78</v>
      </c>
      <c r="F109" s="1" t="s">
        <v>53</v>
      </c>
      <c r="G109" s="1">
        <v>7</v>
      </c>
      <c r="H109" s="1">
        <v>252</v>
      </c>
      <c r="I109" s="1">
        <v>151</v>
      </c>
      <c r="J109" s="1">
        <v>1764</v>
      </c>
      <c r="K109" s="6">
        <f t="shared" si="15"/>
        <v>707</v>
      </c>
      <c r="L109" s="7">
        <f t="shared" si="16"/>
        <v>40.079365079365083</v>
      </c>
      <c r="M109" s="8">
        <f t="shared" si="17"/>
        <v>2023</v>
      </c>
      <c r="N109" t="str">
        <f t="shared" si="18"/>
        <v>February</v>
      </c>
      <c r="O109" t="str">
        <f t="shared" si="19"/>
        <v>Excellent</v>
      </c>
    </row>
    <row r="110" spans="1:15" ht="15" customHeight="1" x14ac:dyDescent="0.25">
      <c r="A110" s="1" t="s">
        <v>179</v>
      </c>
      <c r="B110" s="5">
        <v>45261</v>
      </c>
      <c r="C110" s="1" t="s">
        <v>67</v>
      </c>
      <c r="D110" s="1" t="s">
        <v>61</v>
      </c>
      <c r="E110" s="1" t="s">
        <v>78</v>
      </c>
      <c r="F110" s="1" t="s">
        <v>53</v>
      </c>
      <c r="G110" s="1">
        <v>14</v>
      </c>
      <c r="H110" s="1">
        <v>149</v>
      </c>
      <c r="I110" s="1">
        <v>89</v>
      </c>
      <c r="J110" s="1">
        <v>2086</v>
      </c>
      <c r="K110" s="6">
        <f t="shared" si="15"/>
        <v>840</v>
      </c>
      <c r="L110" s="7">
        <f t="shared" si="16"/>
        <v>40.268456375838923</v>
      </c>
      <c r="M110" s="8">
        <f t="shared" si="17"/>
        <v>2023</v>
      </c>
      <c r="N110" t="str">
        <f t="shared" si="18"/>
        <v>December</v>
      </c>
      <c r="O110" t="str">
        <f t="shared" si="19"/>
        <v>Excellent</v>
      </c>
    </row>
    <row r="111" spans="1:15" ht="15" customHeight="1" x14ac:dyDescent="0.25">
      <c r="A111" s="1" t="s">
        <v>180</v>
      </c>
      <c r="B111" s="5">
        <v>45010</v>
      </c>
      <c r="C111" s="1" t="s">
        <v>86</v>
      </c>
      <c r="D111" s="1" t="s">
        <v>73</v>
      </c>
      <c r="E111" s="1" t="s">
        <v>52</v>
      </c>
      <c r="F111" s="1" t="s">
        <v>55</v>
      </c>
      <c r="G111" s="1">
        <v>2</v>
      </c>
      <c r="H111" s="1">
        <v>199</v>
      </c>
      <c r="I111" s="1">
        <v>119</v>
      </c>
      <c r="J111" s="1">
        <v>398</v>
      </c>
      <c r="K111" s="6">
        <f t="shared" si="15"/>
        <v>160</v>
      </c>
      <c r="L111" s="7">
        <f t="shared" si="16"/>
        <v>40.201005025125632</v>
      </c>
      <c r="M111" s="8">
        <f t="shared" si="17"/>
        <v>2023</v>
      </c>
      <c r="N111" t="str">
        <f t="shared" si="18"/>
        <v>March</v>
      </c>
      <c r="O111" t="str">
        <f t="shared" si="19"/>
        <v>Excellent</v>
      </c>
    </row>
    <row r="112" spans="1:15" ht="15" customHeight="1" x14ac:dyDescent="0.25">
      <c r="A112" s="1" t="s">
        <v>181</v>
      </c>
      <c r="B112" s="5">
        <v>45156</v>
      </c>
      <c r="C112" s="1" t="s">
        <v>50</v>
      </c>
      <c r="D112" s="1" t="s">
        <v>51</v>
      </c>
      <c r="E112" s="1" t="s">
        <v>52</v>
      </c>
      <c r="F112" s="1" t="s">
        <v>65</v>
      </c>
      <c r="G112" s="1">
        <v>8</v>
      </c>
      <c r="H112" s="1">
        <v>458</v>
      </c>
      <c r="I112" s="1">
        <v>274</v>
      </c>
      <c r="J112" s="1">
        <v>3664</v>
      </c>
      <c r="K112" s="6">
        <f t="shared" si="15"/>
        <v>1472</v>
      </c>
      <c r="L112" s="7">
        <f t="shared" si="16"/>
        <v>40.174672489082965</v>
      </c>
      <c r="M112" s="8">
        <f t="shared" si="17"/>
        <v>2023</v>
      </c>
      <c r="N112" t="str">
        <f t="shared" si="18"/>
        <v>August</v>
      </c>
      <c r="O112" t="str">
        <f t="shared" si="19"/>
        <v>Excellent</v>
      </c>
    </row>
    <row r="113" spans="1:15" ht="15" customHeight="1" x14ac:dyDescent="0.25">
      <c r="A113" s="1" t="s">
        <v>182</v>
      </c>
      <c r="B113" s="5">
        <v>44947</v>
      </c>
      <c r="C113" s="1" t="s">
        <v>63</v>
      </c>
      <c r="D113" s="1" t="s">
        <v>61</v>
      </c>
      <c r="E113" s="1" t="s">
        <v>57</v>
      </c>
      <c r="F113" s="1" t="s">
        <v>58</v>
      </c>
      <c r="G113" s="1">
        <v>5</v>
      </c>
      <c r="H113" s="1">
        <v>262</v>
      </c>
      <c r="I113" s="1">
        <v>157</v>
      </c>
      <c r="J113" s="1">
        <v>1310</v>
      </c>
      <c r="K113" s="6">
        <f t="shared" si="15"/>
        <v>525</v>
      </c>
      <c r="L113" s="7">
        <f t="shared" si="16"/>
        <v>40.076335877862597</v>
      </c>
      <c r="M113" s="8">
        <f t="shared" si="17"/>
        <v>2023</v>
      </c>
      <c r="N113" t="str">
        <f t="shared" si="18"/>
        <v>January</v>
      </c>
      <c r="O113" t="str">
        <f t="shared" si="19"/>
        <v>Excellent</v>
      </c>
    </row>
    <row r="114" spans="1:15" ht="15" customHeight="1" x14ac:dyDescent="0.25">
      <c r="A114" s="1" t="s">
        <v>183</v>
      </c>
      <c r="B114" s="5">
        <v>45612</v>
      </c>
      <c r="C114" s="1" t="s">
        <v>50</v>
      </c>
      <c r="D114" s="1" t="s">
        <v>51</v>
      </c>
      <c r="E114" s="1" t="s">
        <v>57</v>
      </c>
      <c r="F114" s="1" t="s">
        <v>69</v>
      </c>
      <c r="G114" s="1">
        <v>9</v>
      </c>
      <c r="H114" s="1">
        <v>1620</v>
      </c>
      <c r="I114" s="1">
        <v>972</v>
      </c>
      <c r="J114" s="1">
        <v>14580</v>
      </c>
      <c r="K114" s="6">
        <f t="shared" si="15"/>
        <v>5832</v>
      </c>
      <c r="L114" s="7">
        <f t="shared" si="16"/>
        <v>40</v>
      </c>
      <c r="M114" s="8">
        <f t="shared" si="17"/>
        <v>2024</v>
      </c>
      <c r="N114" t="str">
        <f t="shared" si="18"/>
        <v>November</v>
      </c>
      <c r="O114" t="str">
        <f t="shared" si="19"/>
        <v>Excellent</v>
      </c>
    </row>
    <row r="115" spans="1:15" ht="15" customHeight="1" x14ac:dyDescent="0.25">
      <c r="A115" s="1" t="s">
        <v>184</v>
      </c>
      <c r="B115" s="5">
        <v>45304</v>
      </c>
      <c r="C115" s="1" t="s">
        <v>80</v>
      </c>
      <c r="D115" s="1" t="s">
        <v>51</v>
      </c>
      <c r="E115" s="1" t="s">
        <v>52</v>
      </c>
      <c r="F115" s="1" t="s">
        <v>58</v>
      </c>
      <c r="G115" s="1">
        <v>10</v>
      </c>
      <c r="H115" s="1">
        <v>271</v>
      </c>
      <c r="I115" s="1">
        <v>162</v>
      </c>
      <c r="J115" s="1">
        <v>2710</v>
      </c>
      <c r="K115" s="6">
        <f t="shared" si="15"/>
        <v>1090</v>
      </c>
      <c r="L115" s="7">
        <f t="shared" si="16"/>
        <v>40.221402214022142</v>
      </c>
      <c r="M115" s="8">
        <f t="shared" si="17"/>
        <v>2024</v>
      </c>
      <c r="N115" t="str">
        <f t="shared" si="18"/>
        <v>January</v>
      </c>
      <c r="O115" t="str">
        <f t="shared" si="19"/>
        <v>Excellent</v>
      </c>
    </row>
    <row r="116" spans="1:15" ht="15" customHeight="1" x14ac:dyDescent="0.25">
      <c r="A116" s="1" t="s">
        <v>185</v>
      </c>
      <c r="B116" s="5">
        <v>45519</v>
      </c>
      <c r="C116" s="1" t="s">
        <v>76</v>
      </c>
      <c r="D116" s="1" t="s">
        <v>51</v>
      </c>
      <c r="E116" s="1" t="s">
        <v>64</v>
      </c>
      <c r="F116" s="1" t="s">
        <v>55</v>
      </c>
      <c r="G116" s="1">
        <v>13</v>
      </c>
      <c r="H116" s="1">
        <v>862</v>
      </c>
      <c r="I116" s="1">
        <v>517</v>
      </c>
      <c r="J116" s="1">
        <v>11206</v>
      </c>
      <c r="K116" s="6">
        <f t="shared" si="15"/>
        <v>4485</v>
      </c>
      <c r="L116" s="7">
        <f t="shared" si="16"/>
        <v>40.023201856148496</v>
      </c>
      <c r="M116" s="8">
        <f t="shared" si="17"/>
        <v>2024</v>
      </c>
      <c r="N116" t="str">
        <f t="shared" si="18"/>
        <v>August</v>
      </c>
      <c r="O116" t="str">
        <f t="shared" si="19"/>
        <v>Excellent</v>
      </c>
    </row>
    <row r="117" spans="1:15" ht="15" customHeight="1" x14ac:dyDescent="0.25">
      <c r="A117" s="1" t="s">
        <v>186</v>
      </c>
      <c r="B117" s="5">
        <v>45130</v>
      </c>
      <c r="C117" s="1" t="s">
        <v>50</v>
      </c>
      <c r="D117" s="1" t="s">
        <v>51</v>
      </c>
      <c r="E117" s="1" t="s">
        <v>57</v>
      </c>
      <c r="F117" s="1" t="s">
        <v>65</v>
      </c>
      <c r="G117" s="1">
        <v>10</v>
      </c>
      <c r="H117" s="1">
        <v>1791</v>
      </c>
      <c r="I117" s="1">
        <v>1074</v>
      </c>
      <c r="J117" s="1">
        <v>17910</v>
      </c>
      <c r="K117" s="6">
        <f t="shared" si="15"/>
        <v>7170</v>
      </c>
      <c r="L117" s="7">
        <f t="shared" si="16"/>
        <v>40.033500837520933</v>
      </c>
      <c r="M117" s="8">
        <f t="shared" si="17"/>
        <v>2023</v>
      </c>
      <c r="N117" t="str">
        <f t="shared" si="18"/>
        <v>July</v>
      </c>
      <c r="O117" t="str">
        <f t="shared" si="19"/>
        <v>Excellent</v>
      </c>
    </row>
    <row r="118" spans="1:15" ht="15" customHeight="1" x14ac:dyDescent="0.25">
      <c r="A118" s="1" t="s">
        <v>187</v>
      </c>
      <c r="B118" s="5">
        <v>45627</v>
      </c>
      <c r="C118" s="1" t="s">
        <v>63</v>
      </c>
      <c r="D118" s="1" t="s">
        <v>61</v>
      </c>
      <c r="E118" s="1" t="s">
        <v>52</v>
      </c>
      <c r="F118" s="1" t="s">
        <v>55</v>
      </c>
      <c r="G118" s="1">
        <v>2</v>
      </c>
      <c r="H118" s="1">
        <v>197</v>
      </c>
      <c r="I118" s="1">
        <v>118</v>
      </c>
      <c r="J118" s="1">
        <v>394</v>
      </c>
      <c r="K118" s="6">
        <f t="shared" si="15"/>
        <v>158</v>
      </c>
      <c r="L118" s="7">
        <f t="shared" si="16"/>
        <v>40.101522842639589</v>
      </c>
      <c r="M118" s="8">
        <f t="shared" si="17"/>
        <v>2024</v>
      </c>
      <c r="N118" t="str">
        <f t="shared" si="18"/>
        <v>December</v>
      </c>
      <c r="O118" t="str">
        <f t="shared" si="19"/>
        <v>Excellent</v>
      </c>
    </row>
    <row r="119" spans="1:15" ht="15" customHeight="1" x14ac:dyDescent="0.25">
      <c r="A119" s="1" t="s">
        <v>188</v>
      </c>
      <c r="B119" s="5">
        <v>45472</v>
      </c>
      <c r="C119" s="1" t="s">
        <v>72</v>
      </c>
      <c r="D119" s="1" t="s">
        <v>73</v>
      </c>
      <c r="E119" s="1" t="s">
        <v>64</v>
      </c>
      <c r="F119" s="1" t="s">
        <v>65</v>
      </c>
      <c r="G119" s="1">
        <v>17</v>
      </c>
      <c r="H119" s="1">
        <v>351</v>
      </c>
      <c r="I119" s="1">
        <v>210</v>
      </c>
      <c r="J119" s="1">
        <v>5967</v>
      </c>
      <c r="K119" s="6">
        <f t="shared" si="15"/>
        <v>2397</v>
      </c>
      <c r="L119" s="7">
        <f t="shared" si="16"/>
        <v>40.17094017094017</v>
      </c>
      <c r="M119" s="8">
        <f t="shared" si="17"/>
        <v>2024</v>
      </c>
      <c r="N119" t="str">
        <f t="shared" si="18"/>
        <v>June</v>
      </c>
      <c r="O119" t="str">
        <f t="shared" si="19"/>
        <v>Excellent</v>
      </c>
    </row>
    <row r="120" spans="1:15" ht="15" customHeight="1" x14ac:dyDescent="0.25">
      <c r="A120" s="1" t="s">
        <v>189</v>
      </c>
      <c r="B120" s="5">
        <v>45276</v>
      </c>
      <c r="C120" s="1" t="s">
        <v>76</v>
      </c>
      <c r="D120" s="1" t="s">
        <v>51</v>
      </c>
      <c r="E120" s="1" t="s">
        <v>78</v>
      </c>
      <c r="F120" s="1" t="s">
        <v>69</v>
      </c>
      <c r="G120" s="1">
        <v>4</v>
      </c>
      <c r="H120" s="1">
        <v>937</v>
      </c>
      <c r="I120" s="1">
        <v>562</v>
      </c>
      <c r="J120" s="1">
        <v>3748</v>
      </c>
      <c r="K120" s="6">
        <f t="shared" si="15"/>
        <v>1500</v>
      </c>
      <c r="L120" s="7">
        <f t="shared" si="16"/>
        <v>40.021344717182501</v>
      </c>
      <c r="M120" s="8">
        <f t="shared" si="17"/>
        <v>2023</v>
      </c>
      <c r="N120" t="str">
        <f t="shared" si="18"/>
        <v>December</v>
      </c>
      <c r="O120" t="str">
        <f t="shared" si="19"/>
        <v>Excellent</v>
      </c>
    </row>
    <row r="121" spans="1:15" ht="15" customHeight="1" x14ac:dyDescent="0.25">
      <c r="A121" s="1" t="s">
        <v>190</v>
      </c>
      <c r="B121" s="5">
        <v>45297</v>
      </c>
      <c r="C121" s="1" t="s">
        <v>86</v>
      </c>
      <c r="D121" s="1" t="s">
        <v>73</v>
      </c>
      <c r="E121" s="1" t="s">
        <v>57</v>
      </c>
      <c r="F121" s="1" t="s">
        <v>69</v>
      </c>
      <c r="G121" s="1">
        <v>6</v>
      </c>
      <c r="H121" s="1">
        <v>395</v>
      </c>
      <c r="I121" s="1">
        <v>237</v>
      </c>
      <c r="J121" s="1">
        <v>2370</v>
      </c>
      <c r="K121" s="6">
        <f t="shared" si="15"/>
        <v>948</v>
      </c>
      <c r="L121" s="7">
        <f t="shared" si="16"/>
        <v>40</v>
      </c>
      <c r="M121" s="8">
        <f t="shared" si="17"/>
        <v>2024</v>
      </c>
      <c r="N121" t="str">
        <f t="shared" si="18"/>
        <v>January</v>
      </c>
      <c r="O121" t="str">
        <f t="shared" si="19"/>
        <v>Excellent</v>
      </c>
    </row>
    <row r="122" spans="1:15" ht="15" customHeight="1" x14ac:dyDescent="0.25">
      <c r="A122" s="1" t="s">
        <v>191</v>
      </c>
      <c r="B122" s="5">
        <v>45461</v>
      </c>
      <c r="C122" s="1" t="s">
        <v>99</v>
      </c>
      <c r="D122" s="1" t="s">
        <v>61</v>
      </c>
      <c r="E122" s="1" t="s">
        <v>78</v>
      </c>
      <c r="F122" s="1" t="s">
        <v>69</v>
      </c>
      <c r="G122" s="1">
        <v>14</v>
      </c>
      <c r="H122" s="1">
        <v>442</v>
      </c>
      <c r="I122" s="1">
        <v>265</v>
      </c>
      <c r="J122" s="1">
        <v>6188</v>
      </c>
      <c r="K122" s="6">
        <f t="shared" si="15"/>
        <v>2478</v>
      </c>
      <c r="L122" s="7">
        <f t="shared" si="16"/>
        <v>40.04524886877828</v>
      </c>
      <c r="M122" s="8">
        <f t="shared" si="17"/>
        <v>2024</v>
      </c>
      <c r="N122" t="str">
        <f t="shared" si="18"/>
        <v>June</v>
      </c>
      <c r="O122" t="str">
        <f t="shared" si="19"/>
        <v>Excellent</v>
      </c>
    </row>
    <row r="123" spans="1:15" ht="15" customHeight="1" x14ac:dyDescent="0.25">
      <c r="A123" s="1" t="s">
        <v>192</v>
      </c>
      <c r="B123" s="5">
        <v>45533</v>
      </c>
      <c r="C123" s="1" t="s">
        <v>99</v>
      </c>
      <c r="D123" s="1" t="s">
        <v>61</v>
      </c>
      <c r="E123" s="1" t="s">
        <v>64</v>
      </c>
      <c r="F123" s="1" t="s">
        <v>58</v>
      </c>
      <c r="G123" s="1">
        <v>3</v>
      </c>
      <c r="H123" s="1">
        <v>162</v>
      </c>
      <c r="I123" s="1">
        <v>97</v>
      </c>
      <c r="J123" s="1">
        <v>486</v>
      </c>
      <c r="K123" s="6">
        <f t="shared" si="15"/>
        <v>195</v>
      </c>
      <c r="L123" s="7">
        <f t="shared" si="16"/>
        <v>40.123456790123456</v>
      </c>
      <c r="M123" s="8">
        <f t="shared" si="17"/>
        <v>2024</v>
      </c>
      <c r="N123" t="str">
        <f t="shared" si="18"/>
        <v>August</v>
      </c>
      <c r="O123" t="str">
        <f t="shared" si="19"/>
        <v>Excellent</v>
      </c>
    </row>
    <row r="124" spans="1:15" ht="15" customHeight="1" x14ac:dyDescent="0.25">
      <c r="A124" s="1" t="s">
        <v>193</v>
      </c>
      <c r="B124" s="5">
        <v>45388</v>
      </c>
      <c r="C124" s="1" t="s">
        <v>88</v>
      </c>
      <c r="D124" s="1" t="s">
        <v>61</v>
      </c>
      <c r="E124" s="1" t="s">
        <v>78</v>
      </c>
      <c r="F124" s="1" t="s">
        <v>55</v>
      </c>
      <c r="G124" s="1">
        <v>20</v>
      </c>
      <c r="H124" s="1">
        <v>362</v>
      </c>
      <c r="I124" s="1">
        <v>217</v>
      </c>
      <c r="J124" s="1">
        <v>7240</v>
      </c>
      <c r="K124" s="6">
        <f t="shared" si="15"/>
        <v>2900</v>
      </c>
      <c r="L124" s="7">
        <f t="shared" si="16"/>
        <v>40.055248618784525</v>
      </c>
      <c r="M124" s="8">
        <f t="shared" si="17"/>
        <v>2024</v>
      </c>
      <c r="N124" t="str">
        <f t="shared" si="18"/>
        <v>April</v>
      </c>
      <c r="O124" t="str">
        <f t="shared" si="19"/>
        <v>Excellent</v>
      </c>
    </row>
    <row r="125" spans="1:15" ht="15" customHeight="1" x14ac:dyDescent="0.25">
      <c r="A125" s="1" t="s">
        <v>194</v>
      </c>
      <c r="B125" s="5">
        <v>45315</v>
      </c>
      <c r="C125" s="1" t="s">
        <v>67</v>
      </c>
      <c r="D125" s="1" t="s">
        <v>61</v>
      </c>
      <c r="E125" s="1" t="s">
        <v>52</v>
      </c>
      <c r="F125" s="1" t="s">
        <v>69</v>
      </c>
      <c r="G125" s="1">
        <v>11</v>
      </c>
      <c r="H125" s="1">
        <v>113</v>
      </c>
      <c r="I125" s="1">
        <v>67</v>
      </c>
      <c r="J125" s="1">
        <v>1243</v>
      </c>
      <c r="K125" s="6">
        <f t="shared" si="15"/>
        <v>506</v>
      </c>
      <c r="L125" s="7">
        <f t="shared" si="16"/>
        <v>40.707964601769916</v>
      </c>
      <c r="M125" s="8">
        <f t="shared" si="17"/>
        <v>2024</v>
      </c>
      <c r="N125" t="str">
        <f t="shared" si="18"/>
        <v>January</v>
      </c>
      <c r="O125" t="str">
        <f t="shared" si="19"/>
        <v>Excellent</v>
      </c>
    </row>
    <row r="126" spans="1:15" ht="15" customHeight="1" x14ac:dyDescent="0.25">
      <c r="A126" s="1" t="s">
        <v>195</v>
      </c>
      <c r="B126" s="5">
        <v>45426</v>
      </c>
      <c r="C126" s="1" t="s">
        <v>88</v>
      </c>
      <c r="D126" s="1" t="s">
        <v>61</v>
      </c>
      <c r="E126" s="1" t="s">
        <v>64</v>
      </c>
      <c r="F126" s="1" t="s">
        <v>53</v>
      </c>
      <c r="G126" s="1">
        <v>11</v>
      </c>
      <c r="H126" s="1">
        <v>163</v>
      </c>
      <c r="I126" s="1">
        <v>97</v>
      </c>
      <c r="J126" s="1">
        <v>1793</v>
      </c>
      <c r="K126" s="6">
        <f t="shared" si="15"/>
        <v>726</v>
      </c>
      <c r="L126" s="7">
        <f t="shared" si="16"/>
        <v>40.490797546012267</v>
      </c>
      <c r="M126" s="8">
        <f t="shared" si="17"/>
        <v>2024</v>
      </c>
      <c r="N126" t="str">
        <f t="shared" si="18"/>
        <v>May</v>
      </c>
      <c r="O126" t="str">
        <f t="shared" si="19"/>
        <v>Excellent</v>
      </c>
    </row>
    <row r="127" spans="1:15" ht="15" customHeight="1" x14ac:dyDescent="0.25">
      <c r="A127" s="1" t="s">
        <v>196</v>
      </c>
      <c r="B127" s="5">
        <v>45537</v>
      </c>
      <c r="C127" s="1" t="s">
        <v>99</v>
      </c>
      <c r="D127" s="1" t="s">
        <v>61</v>
      </c>
      <c r="E127" s="1" t="s">
        <v>52</v>
      </c>
      <c r="F127" s="1" t="s">
        <v>55</v>
      </c>
      <c r="G127" s="1">
        <v>7</v>
      </c>
      <c r="H127" s="1">
        <v>63</v>
      </c>
      <c r="I127" s="1">
        <v>37</v>
      </c>
      <c r="J127" s="1">
        <v>441</v>
      </c>
      <c r="K127" s="6">
        <f t="shared" si="15"/>
        <v>182</v>
      </c>
      <c r="L127" s="7">
        <f t="shared" si="16"/>
        <v>41.269841269841265</v>
      </c>
      <c r="M127" s="8">
        <f t="shared" si="17"/>
        <v>2024</v>
      </c>
      <c r="N127" t="str">
        <f t="shared" si="18"/>
        <v>September</v>
      </c>
      <c r="O127" t="str">
        <f t="shared" si="19"/>
        <v>Excellent</v>
      </c>
    </row>
    <row r="128" spans="1:15" ht="15" customHeight="1" x14ac:dyDescent="0.25">
      <c r="A128" s="1" t="s">
        <v>197</v>
      </c>
      <c r="B128" s="5">
        <v>45174</v>
      </c>
      <c r="C128" s="1" t="s">
        <v>72</v>
      </c>
      <c r="D128" s="1" t="s">
        <v>73</v>
      </c>
      <c r="E128" s="1" t="s">
        <v>78</v>
      </c>
      <c r="F128" s="1" t="s">
        <v>55</v>
      </c>
      <c r="G128" s="1">
        <v>8</v>
      </c>
      <c r="H128" s="1">
        <v>373</v>
      </c>
      <c r="I128" s="1">
        <v>223</v>
      </c>
      <c r="J128" s="1">
        <v>2984</v>
      </c>
      <c r="K128" s="6">
        <f t="shared" si="15"/>
        <v>1200</v>
      </c>
      <c r="L128" s="7">
        <f t="shared" si="16"/>
        <v>40.214477211796243</v>
      </c>
      <c r="M128" s="8">
        <f t="shared" si="17"/>
        <v>2023</v>
      </c>
      <c r="N128" t="str">
        <f t="shared" si="18"/>
        <v>September</v>
      </c>
      <c r="O128" t="str">
        <f t="shared" si="19"/>
        <v>Excellent</v>
      </c>
    </row>
    <row r="129" spans="1:15" ht="15" customHeight="1" x14ac:dyDescent="0.25">
      <c r="A129" s="1" t="s">
        <v>198</v>
      </c>
      <c r="B129" s="5">
        <v>45414</v>
      </c>
      <c r="C129" s="1" t="s">
        <v>86</v>
      </c>
      <c r="D129" s="1" t="s">
        <v>73</v>
      </c>
      <c r="E129" s="1" t="s">
        <v>78</v>
      </c>
      <c r="F129" s="1" t="s">
        <v>65</v>
      </c>
      <c r="G129" s="1">
        <v>3</v>
      </c>
      <c r="H129" s="1">
        <v>170</v>
      </c>
      <c r="I129" s="1">
        <v>102</v>
      </c>
      <c r="J129" s="1">
        <v>510</v>
      </c>
      <c r="K129" s="6">
        <f t="shared" si="15"/>
        <v>204</v>
      </c>
      <c r="L129" s="7">
        <f t="shared" si="16"/>
        <v>40</v>
      </c>
      <c r="M129" s="8">
        <f t="shared" si="17"/>
        <v>2024</v>
      </c>
      <c r="N129" t="str">
        <f t="shared" si="18"/>
        <v>May</v>
      </c>
      <c r="O129" t="str">
        <f t="shared" si="19"/>
        <v>Excellent</v>
      </c>
    </row>
    <row r="130" spans="1:15" ht="15" customHeight="1" x14ac:dyDescent="0.25">
      <c r="A130" s="1" t="s">
        <v>199</v>
      </c>
      <c r="B130" s="5">
        <v>45153</v>
      </c>
      <c r="C130" s="1" t="s">
        <v>72</v>
      </c>
      <c r="D130" s="1" t="s">
        <v>73</v>
      </c>
      <c r="E130" s="1" t="s">
        <v>57</v>
      </c>
      <c r="F130" s="1" t="s">
        <v>53</v>
      </c>
      <c r="G130" s="1">
        <v>19</v>
      </c>
      <c r="H130" s="1">
        <v>208</v>
      </c>
      <c r="I130" s="1">
        <v>124</v>
      </c>
      <c r="J130" s="1">
        <v>3952</v>
      </c>
      <c r="K130" s="6">
        <f t="shared" ref="K130:K156" si="20">J130-(G130*I130)</f>
        <v>1596</v>
      </c>
      <c r="L130" s="7">
        <f t="shared" ref="L130:L156" si="21">(K130/J130)*100</f>
        <v>40.384615384615387</v>
      </c>
      <c r="M130" s="8">
        <f t="shared" ref="M130:M156" si="22">YEAR(B130)</f>
        <v>2023</v>
      </c>
      <c r="N130" t="str">
        <f t="shared" ref="N130:N156" si="23">TEXT(B130,"MMMM")</f>
        <v>August</v>
      </c>
      <c r="O130" t="str">
        <f t="shared" ref="O130:O156" si="24">IF(L130&gt;35,"Excellent",IF(L130&gt;25,"Good","Average"))</f>
        <v>Excellent</v>
      </c>
    </row>
    <row r="131" spans="1:15" ht="15" customHeight="1" x14ac:dyDescent="0.25">
      <c r="A131" s="1" t="s">
        <v>200</v>
      </c>
      <c r="B131" s="5">
        <v>45411</v>
      </c>
      <c r="C131" s="1" t="s">
        <v>60</v>
      </c>
      <c r="D131" s="1" t="s">
        <v>61</v>
      </c>
      <c r="E131" s="1" t="s">
        <v>64</v>
      </c>
      <c r="F131" s="1" t="s">
        <v>69</v>
      </c>
      <c r="G131" s="1">
        <v>18</v>
      </c>
      <c r="H131" s="1">
        <v>189</v>
      </c>
      <c r="I131" s="1">
        <v>113</v>
      </c>
      <c r="J131" s="1">
        <v>3402</v>
      </c>
      <c r="K131" s="6">
        <f t="shared" si="20"/>
        <v>1368</v>
      </c>
      <c r="L131" s="7">
        <f t="shared" si="21"/>
        <v>40.211640211640209</v>
      </c>
      <c r="M131" s="8">
        <f t="shared" si="22"/>
        <v>2024</v>
      </c>
      <c r="N131" t="str">
        <f t="shared" si="23"/>
        <v>April</v>
      </c>
      <c r="O131" t="str">
        <f t="shared" si="24"/>
        <v>Excellent</v>
      </c>
    </row>
    <row r="132" spans="1:15" ht="15" customHeight="1" x14ac:dyDescent="0.25">
      <c r="A132" s="1" t="s">
        <v>201</v>
      </c>
      <c r="B132" s="5">
        <v>45287</v>
      </c>
      <c r="C132" s="1" t="s">
        <v>86</v>
      </c>
      <c r="D132" s="1" t="s">
        <v>73</v>
      </c>
      <c r="E132" s="1" t="s">
        <v>64</v>
      </c>
      <c r="F132" s="1" t="s">
        <v>53</v>
      </c>
      <c r="G132" s="1">
        <v>9</v>
      </c>
      <c r="H132" s="1">
        <v>138</v>
      </c>
      <c r="I132" s="1">
        <v>82</v>
      </c>
      <c r="J132" s="1">
        <v>1242</v>
      </c>
      <c r="K132" s="6">
        <f t="shared" si="20"/>
        <v>504</v>
      </c>
      <c r="L132" s="7">
        <f t="shared" si="21"/>
        <v>40.579710144927539</v>
      </c>
      <c r="M132" s="8">
        <f t="shared" si="22"/>
        <v>2023</v>
      </c>
      <c r="N132" t="str">
        <f t="shared" si="23"/>
        <v>December</v>
      </c>
      <c r="O132" t="str">
        <f t="shared" si="24"/>
        <v>Excellent</v>
      </c>
    </row>
    <row r="133" spans="1:15" ht="15" customHeight="1" x14ac:dyDescent="0.25">
      <c r="A133" s="1" t="s">
        <v>202</v>
      </c>
      <c r="B133" s="5">
        <v>45050</v>
      </c>
      <c r="C133" s="1" t="s">
        <v>88</v>
      </c>
      <c r="D133" s="1" t="s">
        <v>61</v>
      </c>
      <c r="E133" s="1" t="s">
        <v>64</v>
      </c>
      <c r="F133" s="1" t="s">
        <v>65</v>
      </c>
      <c r="G133" s="1">
        <v>18</v>
      </c>
      <c r="H133" s="1">
        <v>410</v>
      </c>
      <c r="I133" s="1">
        <v>246</v>
      </c>
      <c r="J133" s="1">
        <v>7380</v>
      </c>
      <c r="K133" s="6">
        <f t="shared" si="20"/>
        <v>2952</v>
      </c>
      <c r="L133" s="7">
        <f t="shared" si="21"/>
        <v>40</v>
      </c>
      <c r="M133" s="8">
        <f t="shared" si="22"/>
        <v>2023</v>
      </c>
      <c r="N133" t="str">
        <f t="shared" si="23"/>
        <v>May</v>
      </c>
      <c r="O133" t="str">
        <f t="shared" si="24"/>
        <v>Excellent</v>
      </c>
    </row>
    <row r="134" spans="1:15" ht="15" customHeight="1" x14ac:dyDescent="0.25">
      <c r="A134" s="1" t="s">
        <v>203</v>
      </c>
      <c r="B134" s="5">
        <v>45633</v>
      </c>
      <c r="C134" s="1" t="s">
        <v>80</v>
      </c>
      <c r="D134" s="1" t="s">
        <v>51</v>
      </c>
      <c r="E134" s="1" t="s">
        <v>57</v>
      </c>
      <c r="F134" s="1" t="s">
        <v>58</v>
      </c>
      <c r="G134" s="1">
        <v>16</v>
      </c>
      <c r="H134" s="1">
        <v>616</v>
      </c>
      <c r="I134" s="1">
        <v>369</v>
      </c>
      <c r="J134" s="1">
        <v>9856</v>
      </c>
      <c r="K134" s="6">
        <f t="shared" si="20"/>
        <v>3952</v>
      </c>
      <c r="L134" s="7">
        <f t="shared" si="21"/>
        <v>40.097402597402599</v>
      </c>
      <c r="M134" s="8">
        <f t="shared" si="22"/>
        <v>2024</v>
      </c>
      <c r="N134" t="str">
        <f t="shared" si="23"/>
        <v>December</v>
      </c>
      <c r="O134" t="str">
        <f t="shared" si="24"/>
        <v>Excellent</v>
      </c>
    </row>
    <row r="135" spans="1:15" ht="15" customHeight="1" x14ac:dyDescent="0.25">
      <c r="A135" s="1" t="s">
        <v>204</v>
      </c>
      <c r="B135" s="5">
        <v>45530</v>
      </c>
      <c r="C135" s="1" t="s">
        <v>60</v>
      </c>
      <c r="D135" s="1" t="s">
        <v>61</v>
      </c>
      <c r="E135" s="1" t="s">
        <v>64</v>
      </c>
      <c r="F135" s="1" t="s">
        <v>65</v>
      </c>
      <c r="G135" s="1">
        <v>7</v>
      </c>
      <c r="H135" s="1">
        <v>171</v>
      </c>
      <c r="I135" s="1">
        <v>102</v>
      </c>
      <c r="J135" s="1">
        <v>1197</v>
      </c>
      <c r="K135" s="6">
        <f t="shared" si="20"/>
        <v>483</v>
      </c>
      <c r="L135" s="7">
        <f t="shared" si="21"/>
        <v>40.350877192982452</v>
      </c>
      <c r="M135" s="8">
        <f t="shared" si="22"/>
        <v>2024</v>
      </c>
      <c r="N135" t="str">
        <f t="shared" si="23"/>
        <v>August</v>
      </c>
      <c r="O135" t="str">
        <f t="shared" si="24"/>
        <v>Excellent</v>
      </c>
    </row>
    <row r="136" spans="1:15" ht="15" customHeight="1" x14ac:dyDescent="0.25">
      <c r="A136" s="1" t="s">
        <v>205</v>
      </c>
      <c r="B136" s="5">
        <v>45159</v>
      </c>
      <c r="C136" s="1" t="s">
        <v>67</v>
      </c>
      <c r="D136" s="1" t="s">
        <v>61</v>
      </c>
      <c r="E136" s="1" t="s">
        <v>57</v>
      </c>
      <c r="F136" s="1" t="s">
        <v>53</v>
      </c>
      <c r="G136" s="1">
        <v>1</v>
      </c>
      <c r="H136" s="1">
        <v>382</v>
      </c>
      <c r="I136" s="1">
        <v>229</v>
      </c>
      <c r="J136" s="1">
        <v>382</v>
      </c>
      <c r="K136" s="6">
        <f t="shared" si="20"/>
        <v>153</v>
      </c>
      <c r="L136" s="7">
        <f t="shared" si="21"/>
        <v>40.052356020942412</v>
      </c>
      <c r="M136" s="8">
        <f t="shared" si="22"/>
        <v>2023</v>
      </c>
      <c r="N136" t="str">
        <f t="shared" si="23"/>
        <v>August</v>
      </c>
      <c r="O136" t="str">
        <f t="shared" si="24"/>
        <v>Excellent</v>
      </c>
    </row>
    <row r="137" spans="1:15" ht="15" customHeight="1" x14ac:dyDescent="0.25">
      <c r="A137" s="1" t="s">
        <v>206</v>
      </c>
      <c r="B137" s="5">
        <v>45473</v>
      </c>
      <c r="C137" s="1" t="s">
        <v>80</v>
      </c>
      <c r="D137" s="1" t="s">
        <v>51</v>
      </c>
      <c r="E137" s="1" t="s">
        <v>64</v>
      </c>
      <c r="F137" s="1" t="s">
        <v>65</v>
      </c>
      <c r="G137" s="1">
        <v>2</v>
      </c>
      <c r="H137" s="1">
        <v>1183</v>
      </c>
      <c r="I137" s="1">
        <v>709</v>
      </c>
      <c r="J137" s="1">
        <v>2366</v>
      </c>
      <c r="K137" s="6">
        <f t="shared" si="20"/>
        <v>948</v>
      </c>
      <c r="L137" s="7">
        <f t="shared" si="21"/>
        <v>40.067624683009299</v>
      </c>
      <c r="M137" s="8">
        <f t="shared" si="22"/>
        <v>2024</v>
      </c>
      <c r="N137" t="str">
        <f t="shared" si="23"/>
        <v>June</v>
      </c>
      <c r="O137" t="str">
        <f t="shared" si="24"/>
        <v>Excellent</v>
      </c>
    </row>
    <row r="138" spans="1:15" ht="15" customHeight="1" x14ac:dyDescent="0.25">
      <c r="A138" s="1" t="s">
        <v>207</v>
      </c>
      <c r="B138" s="5">
        <v>45226</v>
      </c>
      <c r="C138" s="1" t="s">
        <v>80</v>
      </c>
      <c r="D138" s="1" t="s">
        <v>51</v>
      </c>
      <c r="E138" s="1" t="s">
        <v>78</v>
      </c>
      <c r="F138" s="1" t="s">
        <v>65</v>
      </c>
      <c r="G138" s="1">
        <v>1</v>
      </c>
      <c r="H138" s="1">
        <v>1225</v>
      </c>
      <c r="I138" s="1">
        <v>735</v>
      </c>
      <c r="J138" s="1">
        <v>1225</v>
      </c>
      <c r="K138" s="6">
        <f t="shared" si="20"/>
        <v>490</v>
      </c>
      <c r="L138" s="7">
        <f t="shared" si="21"/>
        <v>40</v>
      </c>
      <c r="M138" s="8">
        <f t="shared" si="22"/>
        <v>2023</v>
      </c>
      <c r="N138" t="str">
        <f t="shared" si="23"/>
        <v>October</v>
      </c>
      <c r="O138" t="str">
        <f t="shared" si="24"/>
        <v>Excellent</v>
      </c>
    </row>
    <row r="139" spans="1:15" ht="15" customHeight="1" x14ac:dyDescent="0.25">
      <c r="A139" s="1" t="s">
        <v>208</v>
      </c>
      <c r="B139" s="5">
        <v>45218</v>
      </c>
      <c r="C139" s="1" t="s">
        <v>86</v>
      </c>
      <c r="D139" s="1" t="s">
        <v>73</v>
      </c>
      <c r="E139" s="1" t="s">
        <v>78</v>
      </c>
      <c r="F139" s="1" t="s">
        <v>69</v>
      </c>
      <c r="G139" s="1">
        <v>11</v>
      </c>
      <c r="H139" s="1">
        <v>114</v>
      </c>
      <c r="I139" s="1">
        <v>68</v>
      </c>
      <c r="J139" s="1">
        <v>1254</v>
      </c>
      <c r="K139" s="6">
        <f t="shared" si="20"/>
        <v>506</v>
      </c>
      <c r="L139" s="7">
        <f t="shared" si="21"/>
        <v>40.350877192982452</v>
      </c>
      <c r="M139" s="8">
        <f t="shared" si="22"/>
        <v>2023</v>
      </c>
      <c r="N139" t="str">
        <f t="shared" si="23"/>
        <v>October</v>
      </c>
      <c r="O139" t="str">
        <f t="shared" si="24"/>
        <v>Excellent</v>
      </c>
    </row>
    <row r="140" spans="1:15" ht="15" customHeight="1" x14ac:dyDescent="0.25">
      <c r="A140" s="1" t="s">
        <v>209</v>
      </c>
      <c r="B140" s="5">
        <v>44979</v>
      </c>
      <c r="C140" s="1" t="s">
        <v>99</v>
      </c>
      <c r="D140" s="1" t="s">
        <v>61</v>
      </c>
      <c r="E140" s="1" t="s">
        <v>78</v>
      </c>
      <c r="F140" s="1" t="s">
        <v>65</v>
      </c>
      <c r="G140" s="1">
        <v>3</v>
      </c>
      <c r="H140" s="1">
        <v>225</v>
      </c>
      <c r="I140" s="1">
        <v>135</v>
      </c>
      <c r="J140" s="1">
        <v>675</v>
      </c>
      <c r="K140" s="6">
        <f t="shared" si="20"/>
        <v>270</v>
      </c>
      <c r="L140" s="7">
        <f t="shared" si="21"/>
        <v>40</v>
      </c>
      <c r="M140" s="8">
        <f t="shared" si="22"/>
        <v>2023</v>
      </c>
      <c r="N140" t="str">
        <f t="shared" si="23"/>
        <v>February</v>
      </c>
      <c r="O140" t="str">
        <f t="shared" si="24"/>
        <v>Excellent</v>
      </c>
    </row>
    <row r="141" spans="1:15" ht="15" customHeight="1" x14ac:dyDescent="0.25">
      <c r="A141" s="1" t="s">
        <v>210</v>
      </c>
      <c r="B141" s="5">
        <v>45430</v>
      </c>
      <c r="C141" s="1" t="s">
        <v>50</v>
      </c>
      <c r="D141" s="1" t="s">
        <v>51</v>
      </c>
      <c r="E141" s="1" t="s">
        <v>52</v>
      </c>
      <c r="F141" s="1" t="s">
        <v>58</v>
      </c>
      <c r="G141" s="1">
        <v>5</v>
      </c>
      <c r="H141" s="1">
        <v>1711</v>
      </c>
      <c r="I141" s="1">
        <v>1026</v>
      </c>
      <c r="J141" s="1">
        <v>8555</v>
      </c>
      <c r="K141" s="6">
        <f t="shared" si="20"/>
        <v>3425</v>
      </c>
      <c r="L141" s="7">
        <f t="shared" si="21"/>
        <v>40.035067212156633</v>
      </c>
      <c r="M141" s="8">
        <f t="shared" si="22"/>
        <v>2024</v>
      </c>
      <c r="N141" t="str">
        <f t="shared" si="23"/>
        <v>May</v>
      </c>
      <c r="O141" t="str">
        <f t="shared" si="24"/>
        <v>Excellent</v>
      </c>
    </row>
    <row r="142" spans="1:15" ht="15" customHeight="1" x14ac:dyDescent="0.25">
      <c r="A142" s="1" t="s">
        <v>211</v>
      </c>
      <c r="B142" s="5">
        <v>45503</v>
      </c>
      <c r="C142" s="1" t="s">
        <v>99</v>
      </c>
      <c r="D142" s="1" t="s">
        <v>61</v>
      </c>
      <c r="E142" s="1" t="s">
        <v>52</v>
      </c>
      <c r="F142" s="1" t="s">
        <v>58</v>
      </c>
      <c r="G142" s="1">
        <v>4</v>
      </c>
      <c r="H142" s="1">
        <v>305</v>
      </c>
      <c r="I142" s="1">
        <v>183</v>
      </c>
      <c r="J142" s="1">
        <v>1220</v>
      </c>
      <c r="K142" s="6">
        <f t="shared" si="20"/>
        <v>488</v>
      </c>
      <c r="L142" s="7">
        <f t="shared" si="21"/>
        <v>40</v>
      </c>
      <c r="M142" s="8">
        <f t="shared" si="22"/>
        <v>2024</v>
      </c>
      <c r="N142" t="str">
        <f t="shared" si="23"/>
        <v>July</v>
      </c>
      <c r="O142" t="str">
        <f t="shared" si="24"/>
        <v>Excellent</v>
      </c>
    </row>
    <row r="143" spans="1:15" ht="15" customHeight="1" x14ac:dyDescent="0.25">
      <c r="A143" s="1" t="s">
        <v>212</v>
      </c>
      <c r="B143" s="5">
        <v>45353</v>
      </c>
      <c r="C143" s="1" t="s">
        <v>63</v>
      </c>
      <c r="D143" s="1" t="s">
        <v>61</v>
      </c>
      <c r="E143" s="1" t="s">
        <v>57</v>
      </c>
      <c r="F143" s="1" t="s">
        <v>55</v>
      </c>
      <c r="G143" s="1">
        <v>13</v>
      </c>
      <c r="H143" s="1">
        <v>250</v>
      </c>
      <c r="I143" s="1">
        <v>150</v>
      </c>
      <c r="J143" s="1">
        <v>3250</v>
      </c>
      <c r="K143" s="6">
        <f t="shared" si="20"/>
        <v>1300</v>
      </c>
      <c r="L143" s="7">
        <f t="shared" si="21"/>
        <v>40</v>
      </c>
      <c r="M143" s="8">
        <f t="shared" si="22"/>
        <v>2024</v>
      </c>
      <c r="N143" t="str">
        <f t="shared" si="23"/>
        <v>March</v>
      </c>
      <c r="O143" t="str">
        <f t="shared" si="24"/>
        <v>Excellent</v>
      </c>
    </row>
    <row r="144" spans="1:15" ht="15" customHeight="1" x14ac:dyDescent="0.25">
      <c r="A144" s="1" t="s">
        <v>213</v>
      </c>
      <c r="B144" s="5">
        <v>45380</v>
      </c>
      <c r="C144" s="1" t="s">
        <v>99</v>
      </c>
      <c r="D144" s="1" t="s">
        <v>61</v>
      </c>
      <c r="E144" s="1" t="s">
        <v>78</v>
      </c>
      <c r="F144" s="1" t="s">
        <v>53</v>
      </c>
      <c r="G144" s="1">
        <v>19</v>
      </c>
      <c r="H144" s="1">
        <v>337</v>
      </c>
      <c r="I144" s="1">
        <v>202</v>
      </c>
      <c r="J144" s="1">
        <v>6403</v>
      </c>
      <c r="K144" s="6">
        <f t="shared" si="20"/>
        <v>2565</v>
      </c>
      <c r="L144" s="7">
        <f t="shared" si="21"/>
        <v>40.059347181008903</v>
      </c>
      <c r="M144" s="8">
        <f t="shared" si="22"/>
        <v>2024</v>
      </c>
      <c r="N144" t="str">
        <f t="shared" si="23"/>
        <v>March</v>
      </c>
      <c r="O144" t="str">
        <f t="shared" si="24"/>
        <v>Excellent</v>
      </c>
    </row>
    <row r="145" spans="1:15" ht="15" customHeight="1" x14ac:dyDescent="0.25">
      <c r="A145" s="1" t="s">
        <v>214</v>
      </c>
      <c r="B145" s="5">
        <v>44988</v>
      </c>
      <c r="C145" s="1" t="s">
        <v>63</v>
      </c>
      <c r="D145" s="1" t="s">
        <v>61</v>
      </c>
      <c r="E145" s="1" t="s">
        <v>52</v>
      </c>
      <c r="F145" s="1" t="s">
        <v>58</v>
      </c>
      <c r="G145" s="1">
        <v>7</v>
      </c>
      <c r="H145" s="1">
        <v>155</v>
      </c>
      <c r="I145" s="1">
        <v>93</v>
      </c>
      <c r="J145" s="1">
        <v>1085</v>
      </c>
      <c r="K145" s="6">
        <f t="shared" si="20"/>
        <v>434</v>
      </c>
      <c r="L145" s="7">
        <f t="shared" si="21"/>
        <v>40</v>
      </c>
      <c r="M145" s="8">
        <f t="shared" si="22"/>
        <v>2023</v>
      </c>
      <c r="N145" t="str">
        <f t="shared" si="23"/>
        <v>March</v>
      </c>
      <c r="O145" t="str">
        <f t="shared" si="24"/>
        <v>Excellent</v>
      </c>
    </row>
    <row r="146" spans="1:15" ht="15" customHeight="1" x14ac:dyDescent="0.25">
      <c r="A146" s="1" t="s">
        <v>215</v>
      </c>
      <c r="B146" s="5">
        <v>45603</v>
      </c>
      <c r="C146" s="1" t="s">
        <v>50</v>
      </c>
      <c r="D146" s="1" t="s">
        <v>51</v>
      </c>
      <c r="E146" s="1" t="s">
        <v>57</v>
      </c>
      <c r="F146" s="1" t="s">
        <v>58</v>
      </c>
      <c r="G146" s="1">
        <v>6</v>
      </c>
      <c r="H146" s="1">
        <v>1180</v>
      </c>
      <c r="I146" s="1">
        <v>708</v>
      </c>
      <c r="J146" s="1">
        <v>7080</v>
      </c>
      <c r="K146" s="6">
        <f t="shared" si="20"/>
        <v>2832</v>
      </c>
      <c r="L146" s="7">
        <f t="shared" si="21"/>
        <v>40</v>
      </c>
      <c r="M146" s="8">
        <f t="shared" si="22"/>
        <v>2024</v>
      </c>
      <c r="N146" t="str">
        <f t="shared" si="23"/>
        <v>November</v>
      </c>
      <c r="O146" t="str">
        <f t="shared" si="24"/>
        <v>Excellent</v>
      </c>
    </row>
    <row r="147" spans="1:15" ht="15" customHeight="1" x14ac:dyDescent="0.25">
      <c r="A147" s="1" t="s">
        <v>216</v>
      </c>
      <c r="B147" s="5">
        <v>45003</v>
      </c>
      <c r="C147" s="1" t="s">
        <v>80</v>
      </c>
      <c r="D147" s="1" t="s">
        <v>51</v>
      </c>
      <c r="E147" s="1" t="s">
        <v>52</v>
      </c>
      <c r="F147" s="1" t="s">
        <v>69</v>
      </c>
      <c r="G147" s="1">
        <v>15</v>
      </c>
      <c r="H147" s="1">
        <v>1461</v>
      </c>
      <c r="I147" s="1">
        <v>876</v>
      </c>
      <c r="J147" s="1">
        <v>21915</v>
      </c>
      <c r="K147" s="6">
        <f t="shared" si="20"/>
        <v>8775</v>
      </c>
      <c r="L147" s="7">
        <f t="shared" si="21"/>
        <v>40.041067761806978</v>
      </c>
      <c r="M147" s="8">
        <f t="shared" si="22"/>
        <v>2023</v>
      </c>
      <c r="N147" t="str">
        <f t="shared" si="23"/>
        <v>March</v>
      </c>
      <c r="O147" t="str">
        <f t="shared" si="24"/>
        <v>Excellent</v>
      </c>
    </row>
    <row r="148" spans="1:15" ht="15" customHeight="1" x14ac:dyDescent="0.25">
      <c r="A148" s="1" t="s">
        <v>217</v>
      </c>
      <c r="B148" s="5">
        <v>45535</v>
      </c>
      <c r="C148" s="1" t="s">
        <v>86</v>
      </c>
      <c r="D148" s="1" t="s">
        <v>73</v>
      </c>
      <c r="E148" s="1" t="s">
        <v>64</v>
      </c>
      <c r="F148" s="1" t="s">
        <v>65</v>
      </c>
      <c r="G148" s="1">
        <v>8</v>
      </c>
      <c r="H148" s="1">
        <v>167</v>
      </c>
      <c r="I148" s="1">
        <v>100</v>
      </c>
      <c r="J148" s="1">
        <v>1336</v>
      </c>
      <c r="K148" s="6">
        <f t="shared" si="20"/>
        <v>536</v>
      </c>
      <c r="L148" s="7">
        <f t="shared" si="21"/>
        <v>40.119760479041915</v>
      </c>
      <c r="M148" s="8">
        <f t="shared" si="22"/>
        <v>2024</v>
      </c>
      <c r="N148" t="str">
        <f t="shared" si="23"/>
        <v>August</v>
      </c>
      <c r="O148" t="str">
        <f t="shared" si="24"/>
        <v>Excellent</v>
      </c>
    </row>
    <row r="149" spans="1:15" ht="15" customHeight="1" x14ac:dyDescent="0.25">
      <c r="A149" s="1" t="s">
        <v>218</v>
      </c>
      <c r="B149" s="5">
        <v>45650</v>
      </c>
      <c r="C149" s="1" t="s">
        <v>99</v>
      </c>
      <c r="D149" s="1" t="s">
        <v>61</v>
      </c>
      <c r="E149" s="1" t="s">
        <v>78</v>
      </c>
      <c r="F149" s="1" t="s">
        <v>65</v>
      </c>
      <c r="G149" s="1">
        <v>8</v>
      </c>
      <c r="H149" s="1">
        <v>493</v>
      </c>
      <c r="I149" s="1">
        <v>295</v>
      </c>
      <c r="J149" s="1">
        <v>3944</v>
      </c>
      <c r="K149" s="6">
        <f t="shared" si="20"/>
        <v>1584</v>
      </c>
      <c r="L149" s="7">
        <f t="shared" si="21"/>
        <v>40.162271805273839</v>
      </c>
      <c r="M149" s="8">
        <f t="shared" si="22"/>
        <v>2024</v>
      </c>
      <c r="N149" t="str">
        <f t="shared" si="23"/>
        <v>December</v>
      </c>
      <c r="O149" t="str">
        <f t="shared" si="24"/>
        <v>Excellent</v>
      </c>
    </row>
    <row r="150" spans="1:15" ht="15" customHeight="1" x14ac:dyDescent="0.25">
      <c r="A150" s="1" t="s">
        <v>219</v>
      </c>
      <c r="B150" s="5">
        <v>45197</v>
      </c>
      <c r="C150" s="1" t="s">
        <v>63</v>
      </c>
      <c r="D150" s="1" t="s">
        <v>61</v>
      </c>
      <c r="E150" s="1" t="s">
        <v>57</v>
      </c>
      <c r="F150" s="1" t="s">
        <v>69</v>
      </c>
      <c r="G150" s="1">
        <v>4</v>
      </c>
      <c r="H150" s="1">
        <v>298</v>
      </c>
      <c r="I150" s="1">
        <v>178</v>
      </c>
      <c r="J150" s="1">
        <v>1192</v>
      </c>
      <c r="K150" s="6">
        <f t="shared" si="20"/>
        <v>480</v>
      </c>
      <c r="L150" s="7">
        <f t="shared" si="21"/>
        <v>40.268456375838923</v>
      </c>
      <c r="M150" s="8">
        <f t="shared" si="22"/>
        <v>2023</v>
      </c>
      <c r="N150" t="str">
        <f t="shared" si="23"/>
        <v>September</v>
      </c>
      <c r="O150" t="str">
        <f t="shared" si="24"/>
        <v>Excellent</v>
      </c>
    </row>
    <row r="151" spans="1:15" ht="15" customHeight="1" x14ac:dyDescent="0.25">
      <c r="A151" s="1" t="s">
        <v>220</v>
      </c>
      <c r="B151" s="5">
        <v>45157</v>
      </c>
      <c r="C151" s="1" t="s">
        <v>80</v>
      </c>
      <c r="D151" s="1" t="s">
        <v>51</v>
      </c>
      <c r="E151" s="1" t="s">
        <v>64</v>
      </c>
      <c r="F151" s="1" t="s">
        <v>58</v>
      </c>
      <c r="G151" s="1">
        <v>3</v>
      </c>
      <c r="H151" s="1">
        <v>172</v>
      </c>
      <c r="I151" s="1">
        <v>103</v>
      </c>
      <c r="J151" s="1">
        <v>516</v>
      </c>
      <c r="K151" s="6">
        <f t="shared" si="20"/>
        <v>207</v>
      </c>
      <c r="L151" s="7">
        <f t="shared" si="21"/>
        <v>40.116279069767444</v>
      </c>
      <c r="M151" s="8">
        <f t="shared" si="22"/>
        <v>2023</v>
      </c>
      <c r="N151" t="str">
        <f t="shared" si="23"/>
        <v>August</v>
      </c>
      <c r="O151" t="str">
        <f t="shared" si="24"/>
        <v>Excellent</v>
      </c>
    </row>
    <row r="152" spans="1:15" ht="15" customHeight="1" x14ac:dyDescent="0.25">
      <c r="A152" s="1" t="s">
        <v>49</v>
      </c>
      <c r="B152" s="5">
        <v>45581</v>
      </c>
      <c r="C152" s="1" t="s">
        <v>50</v>
      </c>
      <c r="D152" s="1" t="s">
        <v>51</v>
      </c>
      <c r="E152" s="1" t="s">
        <v>52</v>
      </c>
      <c r="F152" s="1" t="s">
        <v>53</v>
      </c>
      <c r="G152" s="1">
        <v>8</v>
      </c>
      <c r="H152" s="1">
        <v>507</v>
      </c>
      <c r="I152" s="1">
        <v>304</v>
      </c>
      <c r="J152" s="1">
        <v>4056</v>
      </c>
      <c r="K152" s="6">
        <f t="shared" si="20"/>
        <v>1624</v>
      </c>
      <c r="L152" s="7">
        <f t="shared" si="21"/>
        <v>40.039447731755423</v>
      </c>
      <c r="M152" s="8">
        <f t="shared" si="22"/>
        <v>2024</v>
      </c>
      <c r="N152" t="str">
        <f t="shared" si="23"/>
        <v>October</v>
      </c>
      <c r="O152" t="str">
        <f t="shared" si="24"/>
        <v>Excellent</v>
      </c>
    </row>
    <row r="153" spans="1:15" ht="15" customHeight="1" x14ac:dyDescent="0.25">
      <c r="A153" s="1" t="s">
        <v>54</v>
      </c>
      <c r="B153" s="5">
        <v>45069</v>
      </c>
      <c r="C153" s="1" t="s">
        <v>50</v>
      </c>
      <c r="D153" s="1" t="s">
        <v>51</v>
      </c>
      <c r="E153" s="1" t="s">
        <v>52</v>
      </c>
      <c r="F153" s="1" t="s">
        <v>55</v>
      </c>
      <c r="G153" s="1">
        <v>14</v>
      </c>
      <c r="H153" s="1">
        <v>115</v>
      </c>
      <c r="I153" s="1">
        <v>69</v>
      </c>
      <c r="J153" s="1">
        <v>1610</v>
      </c>
      <c r="K153" s="6">
        <f t="shared" si="20"/>
        <v>644</v>
      </c>
      <c r="L153" s="7">
        <f t="shared" si="21"/>
        <v>40</v>
      </c>
      <c r="M153" s="8">
        <f t="shared" si="22"/>
        <v>2023</v>
      </c>
      <c r="N153" t="str">
        <f t="shared" si="23"/>
        <v>May</v>
      </c>
      <c r="O153" t="str">
        <f t="shared" si="24"/>
        <v>Excellent</v>
      </c>
    </row>
    <row r="154" spans="1:15" ht="15" customHeight="1" x14ac:dyDescent="0.25">
      <c r="A154" s="1" t="s">
        <v>56</v>
      </c>
      <c r="B154" s="5">
        <v>44957</v>
      </c>
      <c r="C154" s="1" t="s">
        <v>50</v>
      </c>
      <c r="D154" s="1" t="s">
        <v>51</v>
      </c>
      <c r="E154" s="1" t="s">
        <v>57</v>
      </c>
      <c r="F154" s="1" t="s">
        <v>58</v>
      </c>
      <c r="G154" s="1">
        <v>17</v>
      </c>
      <c r="H154" s="1">
        <v>1282</v>
      </c>
      <c r="I154" s="1">
        <v>769</v>
      </c>
      <c r="J154" s="1">
        <v>21794</v>
      </c>
      <c r="K154" s="6">
        <f t="shared" si="20"/>
        <v>8721</v>
      </c>
      <c r="L154" s="7">
        <f t="shared" si="21"/>
        <v>40.015600624024962</v>
      </c>
      <c r="M154" s="8">
        <f t="shared" si="22"/>
        <v>2023</v>
      </c>
      <c r="N154" t="str">
        <f t="shared" si="23"/>
        <v>January</v>
      </c>
      <c r="O154" t="str">
        <f t="shared" si="24"/>
        <v>Excellent</v>
      </c>
    </row>
    <row r="155" spans="1:15" ht="15" customHeight="1" x14ac:dyDescent="0.25">
      <c r="A155" s="1" t="s">
        <v>59</v>
      </c>
      <c r="B155" s="5">
        <v>44954</v>
      </c>
      <c r="C155" s="1" t="s">
        <v>60</v>
      </c>
      <c r="D155" s="1" t="s">
        <v>61</v>
      </c>
      <c r="E155" s="1" t="s">
        <v>57</v>
      </c>
      <c r="F155" s="1" t="s">
        <v>55</v>
      </c>
      <c r="G155" s="1">
        <v>14</v>
      </c>
      <c r="H155" s="1">
        <v>132</v>
      </c>
      <c r="I155" s="1">
        <v>79</v>
      </c>
      <c r="J155" s="1">
        <v>1848</v>
      </c>
      <c r="K155" s="6">
        <f t="shared" si="20"/>
        <v>742</v>
      </c>
      <c r="L155" s="7">
        <f t="shared" si="21"/>
        <v>40.151515151515149</v>
      </c>
      <c r="M155" s="8">
        <f t="shared" si="22"/>
        <v>2023</v>
      </c>
      <c r="N155" t="str">
        <f t="shared" si="23"/>
        <v>January</v>
      </c>
      <c r="O155" t="str">
        <f t="shared" si="24"/>
        <v>Excellent</v>
      </c>
    </row>
    <row r="156" spans="1:15" ht="15" customHeight="1" x14ac:dyDescent="0.25">
      <c r="A156" s="1" t="s">
        <v>62</v>
      </c>
      <c r="B156" s="5">
        <v>45386</v>
      </c>
      <c r="C156" s="1" t="s">
        <v>63</v>
      </c>
      <c r="D156" s="1" t="s">
        <v>61</v>
      </c>
      <c r="E156" s="1" t="s">
        <v>64</v>
      </c>
      <c r="F156" s="1" t="s">
        <v>65</v>
      </c>
      <c r="G156" s="1">
        <v>6</v>
      </c>
      <c r="H156" s="1">
        <v>377</v>
      </c>
      <c r="I156" s="1">
        <v>226</v>
      </c>
      <c r="J156" s="1">
        <v>2262</v>
      </c>
      <c r="K156" s="6">
        <f t="shared" si="20"/>
        <v>906</v>
      </c>
      <c r="L156" s="7">
        <f t="shared" si="21"/>
        <v>40.053050397877982</v>
      </c>
      <c r="M156" s="8">
        <f t="shared" si="22"/>
        <v>2024</v>
      </c>
      <c r="N156" t="str">
        <f t="shared" si="23"/>
        <v>April</v>
      </c>
      <c r="O156" t="str">
        <f t="shared" si="24"/>
        <v>Excellent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E15"/>
  <sheetViews>
    <sheetView zoomScaleNormal="100" workbookViewId="0">
      <selection activeCell="E14" sqref="E14"/>
    </sheetView>
  </sheetViews>
  <sheetFormatPr defaultColWidth="8.7109375" defaultRowHeight="15" x14ac:dyDescent="0.25"/>
  <cols>
    <col min="1" max="5" width="18" style="1" customWidth="1"/>
  </cols>
  <sheetData>
    <row r="1" spans="1:5" ht="15" customHeight="1" x14ac:dyDescent="0.25">
      <c r="A1" s="30" t="s">
        <v>234</v>
      </c>
      <c r="B1" s="30"/>
      <c r="C1" s="30"/>
      <c r="D1" s="30"/>
      <c r="E1" s="30"/>
    </row>
    <row r="3" spans="1:5" ht="15" customHeight="1" x14ac:dyDescent="0.25">
      <c r="A3" s="11" t="s">
        <v>38</v>
      </c>
      <c r="B3" s="11" t="s">
        <v>235</v>
      </c>
      <c r="C3" s="11" t="s">
        <v>236</v>
      </c>
      <c r="D3" s="11" t="s">
        <v>237</v>
      </c>
      <c r="E3" s="11" t="s">
        <v>238</v>
      </c>
    </row>
    <row r="4" spans="1:5" ht="15" customHeight="1" x14ac:dyDescent="0.25">
      <c r="A4" s="1" t="s">
        <v>64</v>
      </c>
      <c r="B4" s="12">
        <v>143793</v>
      </c>
      <c r="C4" s="12">
        <v>57636</v>
      </c>
      <c r="D4" s="1">
        <v>317</v>
      </c>
      <c r="E4" s="13">
        <v>40.08</v>
      </c>
    </row>
    <row r="5" spans="1:5" ht="15" customHeight="1" x14ac:dyDescent="0.25">
      <c r="A5" s="1" t="s">
        <v>52</v>
      </c>
      <c r="B5" s="12">
        <v>171653</v>
      </c>
      <c r="C5" s="12">
        <v>68797</v>
      </c>
      <c r="D5" s="1">
        <v>364</v>
      </c>
      <c r="E5" s="13">
        <v>40.08</v>
      </c>
    </row>
    <row r="6" spans="1:5" ht="15" customHeight="1" x14ac:dyDescent="0.25">
      <c r="A6" s="1" t="s">
        <v>57</v>
      </c>
      <c r="B6" s="12">
        <v>208885</v>
      </c>
      <c r="C6" s="12">
        <v>83747</v>
      </c>
      <c r="D6" s="1">
        <v>440</v>
      </c>
      <c r="E6" s="13">
        <v>40.090000000000003</v>
      </c>
    </row>
    <row r="7" spans="1:5" ht="15" customHeight="1" x14ac:dyDescent="0.25">
      <c r="A7" s="1" t="s">
        <v>78</v>
      </c>
      <c r="B7" s="12">
        <v>172666</v>
      </c>
      <c r="C7" s="12">
        <v>69186</v>
      </c>
      <c r="D7" s="1">
        <v>339</v>
      </c>
      <c r="E7" s="13">
        <v>40.07</v>
      </c>
    </row>
    <row r="10" spans="1:5" ht="15" customHeight="1" x14ac:dyDescent="0.25">
      <c r="A10" s="30" t="s">
        <v>239</v>
      </c>
      <c r="B10" s="30"/>
      <c r="C10" s="30"/>
      <c r="D10" s="30"/>
      <c r="E10" s="30"/>
    </row>
    <row r="12" spans="1:5" ht="15" customHeight="1" x14ac:dyDescent="0.25">
      <c r="A12" s="11" t="s">
        <v>38</v>
      </c>
      <c r="B12" s="11" t="s">
        <v>235</v>
      </c>
      <c r="C12" s="11" t="s">
        <v>236</v>
      </c>
      <c r="D12" s="11" t="s">
        <v>237</v>
      </c>
      <c r="E12" s="11" t="s">
        <v>238</v>
      </c>
    </row>
    <row r="13" spans="1:5" ht="15" customHeight="1" x14ac:dyDescent="0.25">
      <c r="A13" s="1" t="s">
        <v>73</v>
      </c>
      <c r="B13" s="12">
        <v>84755</v>
      </c>
      <c r="C13" s="12">
        <v>34024</v>
      </c>
      <c r="D13" s="1">
        <v>295</v>
      </c>
      <c r="E13" s="13">
        <v>40.14</v>
      </c>
    </row>
    <row r="14" spans="1:5" ht="15" customHeight="1" x14ac:dyDescent="0.25">
      <c r="A14" s="1" t="s">
        <v>51</v>
      </c>
      <c r="B14" s="12">
        <v>422800</v>
      </c>
      <c r="C14" s="12">
        <v>169315</v>
      </c>
      <c r="D14" s="1">
        <v>461</v>
      </c>
      <c r="E14" s="13">
        <v>40.049999999999997</v>
      </c>
    </row>
    <row r="15" spans="1:5" ht="15" customHeight="1" x14ac:dyDescent="0.25">
      <c r="A15" s="1" t="s">
        <v>61</v>
      </c>
      <c r="B15" s="12">
        <v>189442</v>
      </c>
      <c r="C15" s="12">
        <v>76027</v>
      </c>
      <c r="D15" s="1">
        <v>704</v>
      </c>
      <c r="E15" s="13">
        <v>40.130000000000003</v>
      </c>
    </row>
  </sheetData>
  <mergeCells count="2">
    <mergeCell ref="A1:E1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151"/>
  <sheetViews>
    <sheetView topLeftCell="C1" zoomScaleNormal="100" workbookViewId="0">
      <selection activeCell="J17" sqref="J17"/>
    </sheetView>
  </sheetViews>
  <sheetFormatPr defaultColWidth="8.7109375" defaultRowHeight="15" x14ac:dyDescent="0.25"/>
  <cols>
    <col min="1" max="15" width="14" style="1" customWidth="1"/>
  </cols>
  <sheetData>
    <row r="1" spans="1:15" ht="15" customHeight="1" x14ac:dyDescent="0.25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</row>
    <row r="2" spans="1:15" ht="15" customHeight="1" x14ac:dyDescent="0.25">
      <c r="A2" s="1" t="s">
        <v>49</v>
      </c>
      <c r="B2" s="5">
        <v>45581</v>
      </c>
      <c r="C2" s="1" t="s">
        <v>50</v>
      </c>
      <c r="D2" s="1" t="s">
        <v>51</v>
      </c>
      <c r="E2" s="1" t="s">
        <v>52</v>
      </c>
      <c r="F2" s="1" t="s">
        <v>53</v>
      </c>
      <c r="G2" s="1">
        <v>8</v>
      </c>
      <c r="H2" s="1">
        <v>507</v>
      </c>
      <c r="I2" s="1">
        <v>304</v>
      </c>
      <c r="J2" s="1">
        <v>4056</v>
      </c>
      <c r="K2" s="1">
        <v>1624</v>
      </c>
      <c r="L2" s="1">
        <v>40.04</v>
      </c>
      <c r="M2" s="1">
        <v>2024</v>
      </c>
      <c r="N2" s="10" t="s">
        <v>221</v>
      </c>
      <c r="O2" s="1" t="s">
        <v>222</v>
      </c>
    </row>
    <row r="3" spans="1:15" ht="15" customHeight="1" x14ac:dyDescent="0.25">
      <c r="A3" s="1" t="s">
        <v>54</v>
      </c>
      <c r="B3" s="5">
        <v>45069</v>
      </c>
      <c r="C3" s="1" t="s">
        <v>50</v>
      </c>
      <c r="D3" s="1" t="s">
        <v>51</v>
      </c>
      <c r="E3" s="1" t="s">
        <v>52</v>
      </c>
      <c r="F3" s="1" t="s">
        <v>55</v>
      </c>
      <c r="G3" s="1">
        <v>14</v>
      </c>
      <c r="H3" s="1">
        <v>115</v>
      </c>
      <c r="I3" s="1">
        <v>69</v>
      </c>
      <c r="J3" s="1">
        <v>1610</v>
      </c>
      <c r="K3" s="1">
        <v>644</v>
      </c>
      <c r="L3" s="1">
        <v>40</v>
      </c>
      <c r="M3" s="1">
        <v>2023</v>
      </c>
      <c r="N3" s="10" t="s">
        <v>223</v>
      </c>
      <c r="O3" s="1" t="s">
        <v>222</v>
      </c>
    </row>
    <row r="4" spans="1:15" ht="15" customHeight="1" x14ac:dyDescent="0.25">
      <c r="A4" s="1" t="s">
        <v>56</v>
      </c>
      <c r="B4" s="5">
        <v>44957</v>
      </c>
      <c r="C4" s="1" t="s">
        <v>50</v>
      </c>
      <c r="D4" s="1" t="s">
        <v>51</v>
      </c>
      <c r="E4" s="1" t="s">
        <v>57</v>
      </c>
      <c r="F4" s="1" t="s">
        <v>58</v>
      </c>
      <c r="G4" s="1">
        <v>17</v>
      </c>
      <c r="H4" s="1">
        <v>1282</v>
      </c>
      <c r="I4" s="1">
        <v>769</v>
      </c>
      <c r="J4" s="1">
        <v>21794</v>
      </c>
      <c r="K4" s="1">
        <v>8721</v>
      </c>
      <c r="L4" s="1">
        <v>40.020000000000003</v>
      </c>
      <c r="M4" s="1">
        <v>2023</v>
      </c>
      <c r="N4" s="10" t="s">
        <v>224</v>
      </c>
      <c r="O4" s="1" t="s">
        <v>222</v>
      </c>
    </row>
    <row r="5" spans="1:15" ht="15" customHeight="1" x14ac:dyDescent="0.25">
      <c r="A5" s="1" t="s">
        <v>59</v>
      </c>
      <c r="B5" s="5">
        <v>44954</v>
      </c>
      <c r="C5" s="1" t="s">
        <v>60</v>
      </c>
      <c r="D5" s="1" t="s">
        <v>61</v>
      </c>
      <c r="E5" s="1" t="s">
        <v>57</v>
      </c>
      <c r="F5" s="1" t="s">
        <v>55</v>
      </c>
      <c r="G5" s="1">
        <v>14</v>
      </c>
      <c r="H5" s="1">
        <v>132</v>
      </c>
      <c r="I5" s="1">
        <v>79</v>
      </c>
      <c r="J5" s="1">
        <v>1848</v>
      </c>
      <c r="K5" s="1">
        <v>742</v>
      </c>
      <c r="L5" s="1">
        <v>40.15</v>
      </c>
      <c r="M5" s="1">
        <v>2023</v>
      </c>
      <c r="N5" s="10" t="s">
        <v>224</v>
      </c>
      <c r="O5" s="1" t="s">
        <v>222</v>
      </c>
    </row>
    <row r="6" spans="1:15" ht="15" customHeight="1" x14ac:dyDescent="0.25">
      <c r="A6" s="1" t="s">
        <v>62</v>
      </c>
      <c r="B6" s="5">
        <v>45386</v>
      </c>
      <c r="C6" s="1" t="s">
        <v>63</v>
      </c>
      <c r="D6" s="1" t="s">
        <v>61</v>
      </c>
      <c r="E6" s="1" t="s">
        <v>64</v>
      </c>
      <c r="F6" s="1" t="s">
        <v>65</v>
      </c>
      <c r="G6" s="1">
        <v>6</v>
      </c>
      <c r="H6" s="1">
        <v>377</v>
      </c>
      <c r="I6" s="1">
        <v>226</v>
      </c>
      <c r="J6" s="1">
        <v>2262</v>
      </c>
      <c r="K6" s="1">
        <v>906</v>
      </c>
      <c r="L6" s="1">
        <v>40.049999999999997</v>
      </c>
      <c r="M6" s="1">
        <v>2024</v>
      </c>
      <c r="N6" s="10" t="s">
        <v>225</v>
      </c>
      <c r="O6" s="1" t="s">
        <v>222</v>
      </c>
    </row>
    <row r="7" spans="1:15" ht="15" customHeight="1" x14ac:dyDescent="0.25">
      <c r="A7" s="1" t="s">
        <v>66</v>
      </c>
      <c r="B7" s="5">
        <v>45359</v>
      </c>
      <c r="C7" s="1" t="s">
        <v>67</v>
      </c>
      <c r="D7" s="1" t="s">
        <v>61</v>
      </c>
      <c r="E7" s="1" t="s">
        <v>64</v>
      </c>
      <c r="F7" s="1" t="s">
        <v>58</v>
      </c>
      <c r="G7" s="1">
        <v>7</v>
      </c>
      <c r="H7" s="1">
        <v>410</v>
      </c>
      <c r="I7" s="1">
        <v>246</v>
      </c>
      <c r="J7" s="1">
        <v>2870</v>
      </c>
      <c r="K7" s="1">
        <v>1148</v>
      </c>
      <c r="L7" s="1">
        <v>40</v>
      </c>
      <c r="M7" s="1">
        <v>2024</v>
      </c>
      <c r="N7" s="10" t="s">
        <v>226</v>
      </c>
      <c r="O7" s="1" t="s">
        <v>222</v>
      </c>
    </row>
    <row r="8" spans="1:15" ht="15" customHeight="1" x14ac:dyDescent="0.25">
      <c r="A8" s="1" t="s">
        <v>68</v>
      </c>
      <c r="B8" s="5">
        <v>45271</v>
      </c>
      <c r="C8" s="1" t="s">
        <v>50</v>
      </c>
      <c r="D8" s="1" t="s">
        <v>51</v>
      </c>
      <c r="E8" s="1" t="s">
        <v>52</v>
      </c>
      <c r="F8" s="1" t="s">
        <v>69</v>
      </c>
      <c r="G8" s="1">
        <v>4</v>
      </c>
      <c r="H8" s="1">
        <v>785</v>
      </c>
      <c r="I8" s="1">
        <v>471</v>
      </c>
      <c r="J8" s="1">
        <v>3140</v>
      </c>
      <c r="K8" s="1">
        <v>1256</v>
      </c>
      <c r="L8" s="1">
        <v>40</v>
      </c>
      <c r="M8" s="1">
        <v>2023</v>
      </c>
      <c r="N8" s="10" t="s">
        <v>227</v>
      </c>
      <c r="O8" s="1" t="s">
        <v>222</v>
      </c>
    </row>
    <row r="9" spans="1:15" ht="15" customHeight="1" x14ac:dyDescent="0.25">
      <c r="A9" s="1" t="s">
        <v>70</v>
      </c>
      <c r="B9" s="5">
        <v>45279</v>
      </c>
      <c r="C9" s="1" t="s">
        <v>63</v>
      </c>
      <c r="D9" s="1" t="s">
        <v>61</v>
      </c>
      <c r="E9" s="1" t="s">
        <v>64</v>
      </c>
      <c r="F9" s="1" t="s">
        <v>65</v>
      </c>
      <c r="G9" s="1">
        <v>15</v>
      </c>
      <c r="H9" s="1">
        <v>294</v>
      </c>
      <c r="I9" s="1">
        <v>176</v>
      </c>
      <c r="J9" s="1">
        <v>4410</v>
      </c>
      <c r="K9" s="1">
        <v>1770</v>
      </c>
      <c r="L9" s="1">
        <v>40.14</v>
      </c>
      <c r="M9" s="1">
        <v>2023</v>
      </c>
      <c r="N9" s="10" t="s">
        <v>227</v>
      </c>
      <c r="O9" s="1" t="s">
        <v>222</v>
      </c>
    </row>
    <row r="10" spans="1:15" ht="15" customHeight="1" x14ac:dyDescent="0.25">
      <c r="A10" s="1" t="s">
        <v>71</v>
      </c>
      <c r="B10" s="5">
        <v>45054</v>
      </c>
      <c r="C10" s="1" t="s">
        <v>72</v>
      </c>
      <c r="D10" s="1" t="s">
        <v>73</v>
      </c>
      <c r="E10" s="1" t="s">
        <v>52</v>
      </c>
      <c r="F10" s="1" t="s">
        <v>55</v>
      </c>
      <c r="G10" s="1">
        <v>10</v>
      </c>
      <c r="H10" s="1">
        <v>444</v>
      </c>
      <c r="I10" s="1">
        <v>266</v>
      </c>
      <c r="J10" s="1">
        <v>4440</v>
      </c>
      <c r="K10" s="1">
        <v>1780</v>
      </c>
      <c r="L10" s="1">
        <v>40.090000000000003</v>
      </c>
      <c r="M10" s="1">
        <v>2023</v>
      </c>
      <c r="N10" s="10" t="s">
        <v>223</v>
      </c>
      <c r="O10" s="1" t="s">
        <v>222</v>
      </c>
    </row>
    <row r="11" spans="1:15" ht="15" customHeight="1" x14ac:dyDescent="0.25">
      <c r="A11" s="1" t="s">
        <v>74</v>
      </c>
      <c r="B11" s="5">
        <v>45570</v>
      </c>
      <c r="C11" s="1" t="s">
        <v>63</v>
      </c>
      <c r="D11" s="1" t="s">
        <v>61</v>
      </c>
      <c r="E11" s="1" t="s">
        <v>64</v>
      </c>
      <c r="F11" s="1" t="s">
        <v>55</v>
      </c>
      <c r="G11" s="1">
        <v>7</v>
      </c>
      <c r="H11" s="1">
        <v>380</v>
      </c>
      <c r="I11" s="1">
        <v>228</v>
      </c>
      <c r="J11" s="1">
        <v>2660</v>
      </c>
      <c r="K11" s="1">
        <v>1064</v>
      </c>
      <c r="L11" s="1">
        <v>40</v>
      </c>
      <c r="M11" s="1">
        <v>2024</v>
      </c>
      <c r="N11" s="10" t="s">
        <v>221</v>
      </c>
      <c r="O11" s="1" t="s">
        <v>222</v>
      </c>
    </row>
    <row r="12" spans="1:15" ht="15" customHeight="1" x14ac:dyDescent="0.25">
      <c r="A12" s="1" t="s">
        <v>75</v>
      </c>
      <c r="B12" s="5">
        <v>44998</v>
      </c>
      <c r="C12" s="1" t="s">
        <v>76</v>
      </c>
      <c r="D12" s="1" t="s">
        <v>51</v>
      </c>
      <c r="E12" s="1" t="s">
        <v>57</v>
      </c>
      <c r="F12" s="1" t="s">
        <v>53</v>
      </c>
      <c r="G12" s="1">
        <v>3</v>
      </c>
      <c r="H12" s="1">
        <v>1801</v>
      </c>
      <c r="I12" s="1">
        <v>1080</v>
      </c>
      <c r="J12" s="1">
        <v>5403</v>
      </c>
      <c r="K12" s="1">
        <v>2163</v>
      </c>
      <c r="L12" s="1">
        <v>40.03</v>
      </c>
      <c r="M12" s="1">
        <v>2023</v>
      </c>
      <c r="N12" s="10" t="s">
        <v>226</v>
      </c>
      <c r="O12" s="1" t="s">
        <v>222</v>
      </c>
    </row>
    <row r="13" spans="1:15" ht="15" customHeight="1" x14ac:dyDescent="0.25">
      <c r="A13" s="1" t="s">
        <v>77</v>
      </c>
      <c r="B13" s="5">
        <v>45165</v>
      </c>
      <c r="C13" s="1" t="s">
        <v>50</v>
      </c>
      <c r="D13" s="1" t="s">
        <v>51</v>
      </c>
      <c r="E13" s="1" t="s">
        <v>78</v>
      </c>
      <c r="F13" s="1" t="s">
        <v>53</v>
      </c>
      <c r="G13" s="1">
        <v>15</v>
      </c>
      <c r="H13" s="1">
        <v>1351</v>
      </c>
      <c r="I13" s="1">
        <v>810</v>
      </c>
      <c r="J13" s="1">
        <v>20265</v>
      </c>
      <c r="K13" s="1">
        <v>8115</v>
      </c>
      <c r="L13" s="1">
        <v>40.04</v>
      </c>
      <c r="M13" s="1">
        <v>2023</v>
      </c>
      <c r="N13" s="10" t="s">
        <v>228</v>
      </c>
      <c r="O13" s="1" t="s">
        <v>222</v>
      </c>
    </row>
    <row r="14" spans="1:15" ht="15" customHeight="1" x14ac:dyDescent="0.25">
      <c r="A14" s="1" t="s">
        <v>79</v>
      </c>
      <c r="B14" s="5">
        <v>45300</v>
      </c>
      <c r="C14" s="1" t="s">
        <v>80</v>
      </c>
      <c r="D14" s="1" t="s">
        <v>51</v>
      </c>
      <c r="E14" s="1" t="s">
        <v>64</v>
      </c>
      <c r="F14" s="1" t="s">
        <v>53</v>
      </c>
      <c r="G14" s="1">
        <v>7</v>
      </c>
      <c r="H14" s="1">
        <v>1422</v>
      </c>
      <c r="I14" s="1">
        <v>853</v>
      </c>
      <c r="J14" s="1">
        <v>9954</v>
      </c>
      <c r="K14" s="1">
        <v>3983</v>
      </c>
      <c r="L14" s="1">
        <v>40.01</v>
      </c>
      <c r="M14" s="1">
        <v>2024</v>
      </c>
      <c r="N14" s="10" t="s">
        <v>224</v>
      </c>
      <c r="O14" s="1" t="s">
        <v>222</v>
      </c>
    </row>
    <row r="15" spans="1:15" ht="15" customHeight="1" x14ac:dyDescent="0.25">
      <c r="A15" s="1" t="s">
        <v>81</v>
      </c>
      <c r="B15" s="5">
        <v>45200</v>
      </c>
      <c r="C15" s="1" t="s">
        <v>50</v>
      </c>
      <c r="D15" s="1" t="s">
        <v>51</v>
      </c>
      <c r="E15" s="1" t="s">
        <v>57</v>
      </c>
      <c r="F15" s="1" t="s">
        <v>55</v>
      </c>
      <c r="G15" s="1">
        <v>8</v>
      </c>
      <c r="H15" s="1">
        <v>384</v>
      </c>
      <c r="I15" s="1">
        <v>230</v>
      </c>
      <c r="J15" s="1">
        <v>3072</v>
      </c>
      <c r="K15" s="1">
        <v>1232</v>
      </c>
      <c r="L15" s="1">
        <v>40.1</v>
      </c>
      <c r="M15" s="1">
        <v>2023</v>
      </c>
      <c r="N15" s="10" t="s">
        <v>221</v>
      </c>
      <c r="O15" s="1" t="s">
        <v>222</v>
      </c>
    </row>
    <row r="16" spans="1:15" ht="15" customHeight="1" x14ac:dyDescent="0.25">
      <c r="A16" s="1" t="s">
        <v>82</v>
      </c>
      <c r="B16" s="5">
        <v>45400</v>
      </c>
      <c r="C16" s="1" t="s">
        <v>72</v>
      </c>
      <c r="D16" s="1" t="s">
        <v>73</v>
      </c>
      <c r="E16" s="1" t="s">
        <v>64</v>
      </c>
      <c r="F16" s="1" t="s">
        <v>55</v>
      </c>
      <c r="G16" s="1">
        <v>8</v>
      </c>
      <c r="H16" s="1">
        <v>370</v>
      </c>
      <c r="I16" s="1">
        <v>222</v>
      </c>
      <c r="J16" s="1">
        <v>2960</v>
      </c>
      <c r="K16" s="1">
        <v>1184</v>
      </c>
      <c r="L16" s="1">
        <v>40</v>
      </c>
      <c r="M16" s="1">
        <v>2024</v>
      </c>
      <c r="N16" s="10" t="s">
        <v>225</v>
      </c>
      <c r="O16" s="1" t="s">
        <v>222</v>
      </c>
    </row>
    <row r="17" spans="1:15" ht="15" customHeight="1" x14ac:dyDescent="0.25">
      <c r="A17" s="1" t="s">
        <v>83</v>
      </c>
      <c r="B17" s="5">
        <v>45259</v>
      </c>
      <c r="C17" s="1" t="s">
        <v>76</v>
      </c>
      <c r="D17" s="1" t="s">
        <v>51</v>
      </c>
      <c r="E17" s="1" t="s">
        <v>57</v>
      </c>
      <c r="F17" s="1" t="s">
        <v>65</v>
      </c>
      <c r="G17" s="1">
        <v>11</v>
      </c>
      <c r="H17" s="1">
        <v>871</v>
      </c>
      <c r="I17" s="1">
        <v>522</v>
      </c>
      <c r="J17" s="1">
        <v>9581</v>
      </c>
      <c r="K17" s="1">
        <v>3839</v>
      </c>
      <c r="L17" s="1">
        <v>40.07</v>
      </c>
      <c r="M17" s="1">
        <v>2023</v>
      </c>
      <c r="N17" s="10" t="s">
        <v>229</v>
      </c>
      <c r="O17" s="1" t="s">
        <v>222</v>
      </c>
    </row>
    <row r="18" spans="1:15" ht="15" customHeight="1" x14ac:dyDescent="0.25">
      <c r="A18" s="1" t="s">
        <v>84</v>
      </c>
      <c r="B18" s="5">
        <v>45201</v>
      </c>
      <c r="C18" s="1" t="s">
        <v>50</v>
      </c>
      <c r="D18" s="1" t="s">
        <v>51</v>
      </c>
      <c r="E18" s="1" t="s">
        <v>57</v>
      </c>
      <c r="F18" s="1" t="s">
        <v>55</v>
      </c>
      <c r="G18" s="1">
        <v>11</v>
      </c>
      <c r="H18" s="1">
        <v>485</v>
      </c>
      <c r="I18" s="1">
        <v>291</v>
      </c>
      <c r="J18" s="1">
        <v>5335</v>
      </c>
      <c r="K18" s="1">
        <v>2134</v>
      </c>
      <c r="L18" s="1">
        <v>40</v>
      </c>
      <c r="M18" s="1">
        <v>2023</v>
      </c>
      <c r="N18" s="10" t="s">
        <v>221</v>
      </c>
      <c r="O18" s="1" t="s">
        <v>222</v>
      </c>
    </row>
    <row r="19" spans="1:15" ht="15" customHeight="1" x14ac:dyDescent="0.25">
      <c r="A19" s="1" t="s">
        <v>85</v>
      </c>
      <c r="B19" s="5">
        <v>45598</v>
      </c>
      <c r="C19" s="1" t="s">
        <v>86</v>
      </c>
      <c r="D19" s="1" t="s">
        <v>73</v>
      </c>
      <c r="E19" s="1" t="s">
        <v>78</v>
      </c>
      <c r="F19" s="1" t="s">
        <v>69</v>
      </c>
      <c r="G19" s="1">
        <v>5</v>
      </c>
      <c r="H19" s="1">
        <v>155</v>
      </c>
      <c r="I19" s="1">
        <v>93</v>
      </c>
      <c r="J19" s="1">
        <v>775</v>
      </c>
      <c r="K19" s="1">
        <v>310</v>
      </c>
      <c r="L19" s="1">
        <v>40</v>
      </c>
      <c r="M19" s="1">
        <v>2024</v>
      </c>
      <c r="N19" s="10" t="s">
        <v>229</v>
      </c>
      <c r="O19" s="1" t="s">
        <v>222</v>
      </c>
    </row>
    <row r="20" spans="1:15" ht="15" customHeight="1" x14ac:dyDescent="0.25">
      <c r="A20" s="1" t="s">
        <v>87</v>
      </c>
      <c r="B20" s="5">
        <v>45069</v>
      </c>
      <c r="C20" s="1" t="s">
        <v>88</v>
      </c>
      <c r="D20" s="1" t="s">
        <v>61</v>
      </c>
      <c r="E20" s="1" t="s">
        <v>64</v>
      </c>
      <c r="F20" s="1" t="s">
        <v>55</v>
      </c>
      <c r="G20" s="1">
        <v>14</v>
      </c>
      <c r="H20" s="1">
        <v>479</v>
      </c>
      <c r="I20" s="1">
        <v>287</v>
      </c>
      <c r="J20" s="1">
        <v>6706</v>
      </c>
      <c r="K20" s="1">
        <v>2688</v>
      </c>
      <c r="L20" s="1">
        <v>40.08</v>
      </c>
      <c r="M20" s="1">
        <v>2023</v>
      </c>
      <c r="N20" s="10" t="s">
        <v>223</v>
      </c>
      <c r="O20" s="1" t="s">
        <v>222</v>
      </c>
    </row>
    <row r="21" spans="1:15" ht="15" customHeight="1" x14ac:dyDescent="0.25">
      <c r="A21" s="1" t="s">
        <v>89</v>
      </c>
      <c r="B21" s="5">
        <v>45524</v>
      </c>
      <c r="C21" s="1" t="s">
        <v>72</v>
      </c>
      <c r="D21" s="1" t="s">
        <v>73</v>
      </c>
      <c r="E21" s="1" t="s">
        <v>64</v>
      </c>
      <c r="F21" s="1" t="s">
        <v>58</v>
      </c>
      <c r="G21" s="1">
        <v>5</v>
      </c>
      <c r="H21" s="1">
        <v>280</v>
      </c>
      <c r="I21" s="1">
        <v>168</v>
      </c>
      <c r="J21" s="1">
        <v>1400</v>
      </c>
      <c r="K21" s="1">
        <v>560</v>
      </c>
      <c r="L21" s="1">
        <v>40</v>
      </c>
      <c r="M21" s="1">
        <v>2024</v>
      </c>
      <c r="N21" s="10" t="s">
        <v>228</v>
      </c>
      <c r="O21" s="1" t="s">
        <v>222</v>
      </c>
    </row>
    <row r="22" spans="1:15" ht="15" customHeight="1" x14ac:dyDescent="0.25">
      <c r="A22" s="1" t="s">
        <v>90</v>
      </c>
      <c r="B22" s="5">
        <v>45432</v>
      </c>
      <c r="C22" s="1" t="s">
        <v>50</v>
      </c>
      <c r="D22" s="1" t="s">
        <v>51</v>
      </c>
      <c r="E22" s="1" t="s">
        <v>52</v>
      </c>
      <c r="F22" s="1" t="s">
        <v>65</v>
      </c>
      <c r="G22" s="1">
        <v>5</v>
      </c>
      <c r="H22" s="1">
        <v>1335</v>
      </c>
      <c r="I22" s="1">
        <v>801</v>
      </c>
      <c r="J22" s="1">
        <v>6675</v>
      </c>
      <c r="K22" s="1">
        <v>2670</v>
      </c>
      <c r="L22" s="1">
        <v>40</v>
      </c>
      <c r="M22" s="1">
        <v>2024</v>
      </c>
      <c r="N22" s="10" t="s">
        <v>223</v>
      </c>
      <c r="O22" s="1" t="s">
        <v>222</v>
      </c>
    </row>
    <row r="23" spans="1:15" ht="15" customHeight="1" x14ac:dyDescent="0.25">
      <c r="A23" s="1" t="s">
        <v>91</v>
      </c>
      <c r="B23" s="5">
        <v>45090</v>
      </c>
      <c r="C23" s="1" t="s">
        <v>72</v>
      </c>
      <c r="D23" s="1" t="s">
        <v>73</v>
      </c>
      <c r="E23" s="1" t="s">
        <v>52</v>
      </c>
      <c r="F23" s="1" t="s">
        <v>69</v>
      </c>
      <c r="G23" s="1">
        <v>13</v>
      </c>
      <c r="H23" s="1">
        <v>325</v>
      </c>
      <c r="I23" s="1">
        <v>195</v>
      </c>
      <c r="J23" s="1">
        <v>4225</v>
      </c>
      <c r="K23" s="1">
        <v>1690</v>
      </c>
      <c r="L23" s="1">
        <v>40</v>
      </c>
      <c r="M23" s="1">
        <v>2023</v>
      </c>
      <c r="N23" s="10" t="s">
        <v>230</v>
      </c>
      <c r="O23" s="1" t="s">
        <v>222</v>
      </c>
    </row>
    <row r="24" spans="1:15" ht="15" customHeight="1" x14ac:dyDescent="0.25">
      <c r="A24" s="1" t="s">
        <v>92</v>
      </c>
      <c r="B24" s="5">
        <v>45406</v>
      </c>
      <c r="C24" s="1" t="s">
        <v>60</v>
      </c>
      <c r="D24" s="1" t="s">
        <v>61</v>
      </c>
      <c r="E24" s="1" t="s">
        <v>64</v>
      </c>
      <c r="F24" s="1" t="s">
        <v>55</v>
      </c>
      <c r="G24" s="1">
        <v>1</v>
      </c>
      <c r="H24" s="1">
        <v>368</v>
      </c>
      <c r="I24" s="1">
        <v>220</v>
      </c>
      <c r="J24" s="1">
        <v>368</v>
      </c>
      <c r="K24" s="1">
        <v>148</v>
      </c>
      <c r="L24" s="1">
        <v>40.22</v>
      </c>
      <c r="M24" s="1">
        <v>2024</v>
      </c>
      <c r="N24" s="10" t="s">
        <v>225</v>
      </c>
      <c r="O24" s="1" t="s">
        <v>222</v>
      </c>
    </row>
    <row r="25" spans="1:15" ht="15" customHeight="1" x14ac:dyDescent="0.25">
      <c r="A25" s="1" t="s">
        <v>93</v>
      </c>
      <c r="B25" s="5">
        <v>45044</v>
      </c>
      <c r="C25" s="1" t="s">
        <v>60</v>
      </c>
      <c r="D25" s="1" t="s">
        <v>61</v>
      </c>
      <c r="E25" s="1" t="s">
        <v>64</v>
      </c>
      <c r="F25" s="1" t="s">
        <v>53</v>
      </c>
      <c r="G25" s="1">
        <v>4</v>
      </c>
      <c r="H25" s="1">
        <v>170</v>
      </c>
      <c r="I25" s="1">
        <v>102</v>
      </c>
      <c r="J25" s="1">
        <v>680</v>
      </c>
      <c r="K25" s="1">
        <v>272</v>
      </c>
      <c r="L25" s="1">
        <v>40</v>
      </c>
      <c r="M25" s="1">
        <v>2023</v>
      </c>
      <c r="N25" s="10" t="s">
        <v>225</v>
      </c>
      <c r="O25" s="1" t="s">
        <v>222</v>
      </c>
    </row>
    <row r="26" spans="1:15" ht="15" customHeight="1" x14ac:dyDescent="0.25">
      <c r="A26" s="1" t="s">
        <v>94</v>
      </c>
      <c r="B26" s="5">
        <v>45372</v>
      </c>
      <c r="C26" s="1" t="s">
        <v>80</v>
      </c>
      <c r="D26" s="1" t="s">
        <v>51</v>
      </c>
      <c r="E26" s="1" t="s">
        <v>78</v>
      </c>
      <c r="F26" s="1" t="s">
        <v>65</v>
      </c>
      <c r="G26" s="1">
        <v>9</v>
      </c>
      <c r="H26" s="1">
        <v>1075</v>
      </c>
      <c r="I26" s="1">
        <v>645</v>
      </c>
      <c r="J26" s="1">
        <v>9675</v>
      </c>
      <c r="K26" s="1">
        <v>3870</v>
      </c>
      <c r="L26" s="1">
        <v>40</v>
      </c>
      <c r="M26" s="1">
        <v>2024</v>
      </c>
      <c r="N26" s="10" t="s">
        <v>226</v>
      </c>
      <c r="O26" s="1" t="s">
        <v>222</v>
      </c>
    </row>
    <row r="27" spans="1:15" ht="15" customHeight="1" x14ac:dyDescent="0.25">
      <c r="A27" s="1" t="s">
        <v>95</v>
      </c>
      <c r="B27" s="5">
        <v>45109</v>
      </c>
      <c r="C27" s="1" t="s">
        <v>60</v>
      </c>
      <c r="D27" s="1" t="s">
        <v>61</v>
      </c>
      <c r="E27" s="1" t="s">
        <v>52</v>
      </c>
      <c r="F27" s="1" t="s">
        <v>53</v>
      </c>
      <c r="G27" s="1">
        <v>17</v>
      </c>
      <c r="H27" s="1">
        <v>331</v>
      </c>
      <c r="I27" s="1">
        <v>198</v>
      </c>
      <c r="J27" s="1">
        <v>5627</v>
      </c>
      <c r="K27" s="1">
        <v>2261</v>
      </c>
      <c r="L27" s="1">
        <v>40.18</v>
      </c>
      <c r="M27" s="1">
        <v>2023</v>
      </c>
      <c r="N27" s="10" t="s">
        <v>231</v>
      </c>
      <c r="O27" s="1" t="s">
        <v>222</v>
      </c>
    </row>
    <row r="28" spans="1:15" ht="15" customHeight="1" x14ac:dyDescent="0.25">
      <c r="A28" s="1" t="s">
        <v>96</v>
      </c>
      <c r="B28" s="5">
        <v>45130</v>
      </c>
      <c r="C28" s="1" t="s">
        <v>80</v>
      </c>
      <c r="D28" s="1" t="s">
        <v>51</v>
      </c>
      <c r="E28" s="1" t="s">
        <v>64</v>
      </c>
      <c r="F28" s="1" t="s">
        <v>58</v>
      </c>
      <c r="G28" s="1">
        <v>18</v>
      </c>
      <c r="H28" s="1">
        <v>1644</v>
      </c>
      <c r="I28" s="1">
        <v>986</v>
      </c>
      <c r="J28" s="1">
        <v>29592</v>
      </c>
      <c r="K28" s="1">
        <v>11844</v>
      </c>
      <c r="L28" s="1">
        <v>40.020000000000003</v>
      </c>
      <c r="M28" s="1">
        <v>2023</v>
      </c>
      <c r="N28" s="10" t="s">
        <v>231</v>
      </c>
      <c r="O28" s="1" t="s">
        <v>222</v>
      </c>
    </row>
    <row r="29" spans="1:15" ht="15" customHeight="1" x14ac:dyDescent="0.25">
      <c r="A29" s="1" t="s">
        <v>97</v>
      </c>
      <c r="B29" s="5">
        <v>45470</v>
      </c>
      <c r="C29" s="1" t="s">
        <v>76</v>
      </c>
      <c r="D29" s="1" t="s">
        <v>51</v>
      </c>
      <c r="E29" s="1" t="s">
        <v>64</v>
      </c>
      <c r="F29" s="1" t="s">
        <v>69</v>
      </c>
      <c r="G29" s="1">
        <v>1</v>
      </c>
      <c r="H29" s="1">
        <v>279</v>
      </c>
      <c r="I29" s="1">
        <v>167</v>
      </c>
      <c r="J29" s="1">
        <v>279</v>
      </c>
      <c r="K29" s="1">
        <v>112</v>
      </c>
      <c r="L29" s="1">
        <v>40.14</v>
      </c>
      <c r="M29" s="1">
        <v>2024</v>
      </c>
      <c r="N29" s="10" t="s">
        <v>230</v>
      </c>
      <c r="O29" s="1" t="s">
        <v>222</v>
      </c>
    </row>
    <row r="30" spans="1:15" ht="15" customHeight="1" x14ac:dyDescent="0.25">
      <c r="A30" s="1" t="s">
        <v>98</v>
      </c>
      <c r="B30" s="5">
        <v>45298</v>
      </c>
      <c r="C30" s="1" t="s">
        <v>99</v>
      </c>
      <c r="D30" s="1" t="s">
        <v>61</v>
      </c>
      <c r="E30" s="1" t="s">
        <v>57</v>
      </c>
      <c r="F30" s="1" t="s">
        <v>65</v>
      </c>
      <c r="G30" s="1">
        <v>8</v>
      </c>
      <c r="H30" s="1">
        <v>469</v>
      </c>
      <c r="I30" s="1">
        <v>281</v>
      </c>
      <c r="J30" s="1">
        <v>3752</v>
      </c>
      <c r="K30" s="1">
        <v>1504</v>
      </c>
      <c r="L30" s="1">
        <v>40.090000000000003</v>
      </c>
      <c r="M30" s="1">
        <v>2024</v>
      </c>
      <c r="N30" s="10" t="s">
        <v>224</v>
      </c>
      <c r="O30" s="1" t="s">
        <v>222</v>
      </c>
    </row>
    <row r="31" spans="1:15" ht="15" customHeight="1" x14ac:dyDescent="0.25">
      <c r="A31" s="1" t="s">
        <v>100</v>
      </c>
      <c r="B31" s="5">
        <v>45507</v>
      </c>
      <c r="C31" s="1" t="s">
        <v>50</v>
      </c>
      <c r="D31" s="1" t="s">
        <v>51</v>
      </c>
      <c r="E31" s="1" t="s">
        <v>52</v>
      </c>
      <c r="F31" s="1" t="s">
        <v>69</v>
      </c>
      <c r="G31" s="1">
        <v>3</v>
      </c>
      <c r="H31" s="1">
        <v>1607</v>
      </c>
      <c r="I31" s="1">
        <v>964</v>
      </c>
      <c r="J31" s="1">
        <v>4821</v>
      </c>
      <c r="K31" s="1">
        <v>1929</v>
      </c>
      <c r="L31" s="1">
        <v>40.01</v>
      </c>
      <c r="M31" s="1">
        <v>2024</v>
      </c>
      <c r="N31" s="10" t="s">
        <v>228</v>
      </c>
      <c r="O31" s="1" t="s">
        <v>222</v>
      </c>
    </row>
    <row r="32" spans="1:15" ht="15" customHeight="1" x14ac:dyDescent="0.25">
      <c r="A32" s="1" t="s">
        <v>101</v>
      </c>
      <c r="B32" s="5">
        <v>45472</v>
      </c>
      <c r="C32" s="1" t="s">
        <v>80</v>
      </c>
      <c r="D32" s="1" t="s">
        <v>51</v>
      </c>
      <c r="E32" s="1" t="s">
        <v>57</v>
      </c>
      <c r="F32" s="1" t="s">
        <v>69</v>
      </c>
      <c r="G32" s="1">
        <v>18</v>
      </c>
      <c r="H32" s="1">
        <v>388</v>
      </c>
      <c r="I32" s="1">
        <v>232</v>
      </c>
      <c r="J32" s="1">
        <v>6984</v>
      </c>
      <c r="K32" s="1">
        <v>2808</v>
      </c>
      <c r="L32" s="1">
        <v>40.21</v>
      </c>
      <c r="M32" s="1">
        <v>2024</v>
      </c>
      <c r="N32" s="10" t="s">
        <v>230</v>
      </c>
      <c r="O32" s="1" t="s">
        <v>222</v>
      </c>
    </row>
    <row r="33" spans="1:15" ht="15" customHeight="1" x14ac:dyDescent="0.25">
      <c r="A33" s="1" t="s">
        <v>102</v>
      </c>
      <c r="B33" s="5">
        <v>45198</v>
      </c>
      <c r="C33" s="1" t="s">
        <v>60</v>
      </c>
      <c r="D33" s="1" t="s">
        <v>61</v>
      </c>
      <c r="E33" s="1" t="s">
        <v>78</v>
      </c>
      <c r="F33" s="1" t="s">
        <v>58</v>
      </c>
      <c r="G33" s="1">
        <v>18</v>
      </c>
      <c r="H33" s="1">
        <v>406</v>
      </c>
      <c r="I33" s="1">
        <v>243</v>
      </c>
      <c r="J33" s="1">
        <v>7308</v>
      </c>
      <c r="K33" s="1">
        <v>2934</v>
      </c>
      <c r="L33" s="1">
        <v>40.15</v>
      </c>
      <c r="M33" s="1">
        <v>2023</v>
      </c>
      <c r="N33" s="10" t="s">
        <v>232</v>
      </c>
      <c r="O33" s="1" t="s">
        <v>222</v>
      </c>
    </row>
    <row r="34" spans="1:15" ht="15" customHeight="1" x14ac:dyDescent="0.25">
      <c r="A34" s="1" t="s">
        <v>103</v>
      </c>
      <c r="B34" s="5">
        <v>45633</v>
      </c>
      <c r="C34" s="1" t="s">
        <v>88</v>
      </c>
      <c r="D34" s="1" t="s">
        <v>61</v>
      </c>
      <c r="E34" s="1" t="s">
        <v>64</v>
      </c>
      <c r="F34" s="1" t="s">
        <v>69</v>
      </c>
      <c r="G34" s="1">
        <v>12</v>
      </c>
      <c r="H34" s="1">
        <v>244</v>
      </c>
      <c r="I34" s="1">
        <v>146</v>
      </c>
      <c r="J34" s="1">
        <v>2928</v>
      </c>
      <c r="K34" s="1">
        <v>1176</v>
      </c>
      <c r="L34" s="1">
        <v>40.159999999999997</v>
      </c>
      <c r="M34" s="1">
        <v>2024</v>
      </c>
      <c r="N34" s="10" t="s">
        <v>227</v>
      </c>
      <c r="O34" s="1" t="s">
        <v>222</v>
      </c>
    </row>
    <row r="35" spans="1:15" ht="15" customHeight="1" x14ac:dyDescent="0.25">
      <c r="A35" s="1" t="s">
        <v>104</v>
      </c>
      <c r="B35" s="5">
        <v>45456</v>
      </c>
      <c r="C35" s="1" t="s">
        <v>86</v>
      </c>
      <c r="D35" s="1" t="s">
        <v>73</v>
      </c>
      <c r="E35" s="1" t="s">
        <v>52</v>
      </c>
      <c r="F35" s="1" t="s">
        <v>58</v>
      </c>
      <c r="G35" s="1">
        <v>8</v>
      </c>
      <c r="H35" s="1">
        <v>52</v>
      </c>
      <c r="I35" s="1">
        <v>31</v>
      </c>
      <c r="J35" s="1">
        <v>416</v>
      </c>
      <c r="K35" s="1">
        <v>168</v>
      </c>
      <c r="L35" s="1">
        <v>40.380000000000003</v>
      </c>
      <c r="M35" s="1">
        <v>2024</v>
      </c>
      <c r="N35" s="10" t="s">
        <v>230</v>
      </c>
      <c r="O35" s="1" t="s">
        <v>222</v>
      </c>
    </row>
    <row r="36" spans="1:15" ht="15" customHeight="1" x14ac:dyDescent="0.25">
      <c r="A36" s="1" t="s">
        <v>105</v>
      </c>
      <c r="B36" s="5">
        <v>45273</v>
      </c>
      <c r="C36" s="1" t="s">
        <v>76</v>
      </c>
      <c r="D36" s="1" t="s">
        <v>51</v>
      </c>
      <c r="E36" s="1" t="s">
        <v>57</v>
      </c>
      <c r="F36" s="1" t="s">
        <v>55</v>
      </c>
      <c r="G36" s="1">
        <v>8</v>
      </c>
      <c r="H36" s="1">
        <v>64</v>
      </c>
      <c r="I36" s="1">
        <v>38</v>
      </c>
      <c r="J36" s="1">
        <v>512</v>
      </c>
      <c r="K36" s="1">
        <v>208</v>
      </c>
      <c r="L36" s="1">
        <v>40.619999999999997</v>
      </c>
      <c r="M36" s="1">
        <v>2023</v>
      </c>
      <c r="N36" s="10" t="s">
        <v>227</v>
      </c>
      <c r="O36" s="1" t="s">
        <v>222</v>
      </c>
    </row>
    <row r="37" spans="1:15" ht="15" customHeight="1" x14ac:dyDescent="0.25">
      <c r="A37" s="1" t="s">
        <v>106</v>
      </c>
      <c r="B37" s="5">
        <v>44999</v>
      </c>
      <c r="C37" s="1" t="s">
        <v>76</v>
      </c>
      <c r="D37" s="1" t="s">
        <v>51</v>
      </c>
      <c r="E37" s="1" t="s">
        <v>57</v>
      </c>
      <c r="F37" s="1" t="s">
        <v>65</v>
      </c>
      <c r="G37" s="1">
        <v>2</v>
      </c>
      <c r="H37" s="1">
        <v>1810</v>
      </c>
      <c r="I37" s="1">
        <v>1086</v>
      </c>
      <c r="J37" s="1">
        <v>3620</v>
      </c>
      <c r="K37" s="1">
        <v>1448</v>
      </c>
      <c r="L37" s="1">
        <v>40</v>
      </c>
      <c r="M37" s="1">
        <v>2023</v>
      </c>
      <c r="N37" s="10" t="s">
        <v>226</v>
      </c>
      <c r="O37" s="1" t="s">
        <v>222</v>
      </c>
    </row>
    <row r="38" spans="1:15" ht="15" customHeight="1" x14ac:dyDescent="0.25">
      <c r="A38" s="1" t="s">
        <v>107</v>
      </c>
      <c r="B38" s="5">
        <v>45265</v>
      </c>
      <c r="C38" s="1" t="s">
        <v>50</v>
      </c>
      <c r="D38" s="1" t="s">
        <v>51</v>
      </c>
      <c r="E38" s="1" t="s">
        <v>57</v>
      </c>
      <c r="F38" s="1" t="s">
        <v>53</v>
      </c>
      <c r="G38" s="1">
        <v>16</v>
      </c>
      <c r="H38" s="1">
        <v>488</v>
      </c>
      <c r="I38" s="1">
        <v>292</v>
      </c>
      <c r="J38" s="1">
        <v>7808</v>
      </c>
      <c r="K38" s="1">
        <v>3136</v>
      </c>
      <c r="L38" s="1">
        <v>40.159999999999997</v>
      </c>
      <c r="M38" s="1">
        <v>2023</v>
      </c>
      <c r="N38" s="10" t="s">
        <v>227</v>
      </c>
      <c r="O38" s="1" t="s">
        <v>222</v>
      </c>
    </row>
    <row r="39" spans="1:15" ht="15" customHeight="1" x14ac:dyDescent="0.25">
      <c r="A39" s="1" t="s">
        <v>108</v>
      </c>
      <c r="B39" s="5">
        <v>45479</v>
      </c>
      <c r="C39" s="1" t="s">
        <v>80</v>
      </c>
      <c r="D39" s="1" t="s">
        <v>51</v>
      </c>
      <c r="E39" s="1" t="s">
        <v>78</v>
      </c>
      <c r="F39" s="1" t="s">
        <v>58</v>
      </c>
      <c r="G39" s="1">
        <v>16</v>
      </c>
      <c r="H39" s="1">
        <v>1703</v>
      </c>
      <c r="I39" s="1">
        <v>1021</v>
      </c>
      <c r="J39" s="1">
        <v>27248</v>
      </c>
      <c r="K39" s="1">
        <v>10912</v>
      </c>
      <c r="L39" s="1">
        <v>40.049999999999997</v>
      </c>
      <c r="M39" s="1">
        <v>2024</v>
      </c>
      <c r="N39" s="10" t="s">
        <v>231</v>
      </c>
      <c r="O39" s="1" t="s">
        <v>222</v>
      </c>
    </row>
    <row r="40" spans="1:15" ht="15" customHeight="1" x14ac:dyDescent="0.25">
      <c r="A40" s="1" t="s">
        <v>109</v>
      </c>
      <c r="B40" s="5">
        <v>45343</v>
      </c>
      <c r="C40" s="1" t="s">
        <v>88</v>
      </c>
      <c r="D40" s="1" t="s">
        <v>61</v>
      </c>
      <c r="E40" s="1" t="s">
        <v>52</v>
      </c>
      <c r="F40" s="1" t="s">
        <v>65</v>
      </c>
      <c r="G40" s="1">
        <v>14</v>
      </c>
      <c r="H40" s="1">
        <v>201</v>
      </c>
      <c r="I40" s="1">
        <v>120</v>
      </c>
      <c r="J40" s="1">
        <v>2814</v>
      </c>
      <c r="K40" s="1">
        <v>1134</v>
      </c>
      <c r="L40" s="1">
        <v>40.299999999999997</v>
      </c>
      <c r="M40" s="1">
        <v>2024</v>
      </c>
      <c r="N40" s="10" t="s">
        <v>233</v>
      </c>
      <c r="O40" s="1" t="s">
        <v>222</v>
      </c>
    </row>
    <row r="41" spans="1:15" ht="15" customHeight="1" x14ac:dyDescent="0.25">
      <c r="A41" s="1" t="s">
        <v>110</v>
      </c>
      <c r="B41" s="5">
        <v>45360</v>
      </c>
      <c r="C41" s="1" t="s">
        <v>72</v>
      </c>
      <c r="D41" s="1" t="s">
        <v>73</v>
      </c>
      <c r="E41" s="1" t="s">
        <v>78</v>
      </c>
      <c r="F41" s="1" t="s">
        <v>65</v>
      </c>
      <c r="G41" s="1">
        <v>4</v>
      </c>
      <c r="H41" s="1">
        <v>51</v>
      </c>
      <c r="I41" s="1">
        <v>30</v>
      </c>
      <c r="J41" s="1">
        <v>204</v>
      </c>
      <c r="K41" s="1">
        <v>84</v>
      </c>
      <c r="L41" s="1">
        <v>41.18</v>
      </c>
      <c r="M41" s="1">
        <v>2024</v>
      </c>
      <c r="N41" s="10" t="s">
        <v>226</v>
      </c>
      <c r="O41" s="1" t="s">
        <v>222</v>
      </c>
    </row>
    <row r="42" spans="1:15" ht="15" customHeight="1" x14ac:dyDescent="0.25">
      <c r="A42" s="1" t="s">
        <v>111</v>
      </c>
      <c r="B42" s="5">
        <v>45339</v>
      </c>
      <c r="C42" s="1" t="s">
        <v>67</v>
      </c>
      <c r="D42" s="1" t="s">
        <v>61</v>
      </c>
      <c r="E42" s="1" t="s">
        <v>52</v>
      </c>
      <c r="F42" s="1" t="s">
        <v>58</v>
      </c>
      <c r="G42" s="1">
        <v>7</v>
      </c>
      <c r="H42" s="1">
        <v>117</v>
      </c>
      <c r="I42" s="1">
        <v>70</v>
      </c>
      <c r="J42" s="1">
        <v>819</v>
      </c>
      <c r="K42" s="1">
        <v>329</v>
      </c>
      <c r="L42" s="1">
        <v>40.17</v>
      </c>
      <c r="M42" s="1">
        <v>2024</v>
      </c>
      <c r="N42" s="10" t="s">
        <v>233</v>
      </c>
      <c r="O42" s="1" t="s">
        <v>222</v>
      </c>
    </row>
    <row r="43" spans="1:15" ht="15" customHeight="1" x14ac:dyDescent="0.25">
      <c r="A43" s="1" t="s">
        <v>112</v>
      </c>
      <c r="B43" s="5">
        <v>45476</v>
      </c>
      <c r="C43" s="1" t="s">
        <v>86</v>
      </c>
      <c r="D43" s="1" t="s">
        <v>73</v>
      </c>
      <c r="E43" s="1" t="s">
        <v>57</v>
      </c>
      <c r="F43" s="1" t="s">
        <v>69</v>
      </c>
      <c r="G43" s="1">
        <v>6</v>
      </c>
      <c r="H43" s="1">
        <v>162</v>
      </c>
      <c r="I43" s="1">
        <v>97</v>
      </c>
      <c r="J43" s="1">
        <v>972</v>
      </c>
      <c r="K43" s="1">
        <v>390</v>
      </c>
      <c r="L43" s="1">
        <v>40.119999999999997</v>
      </c>
      <c r="M43" s="1">
        <v>2024</v>
      </c>
      <c r="N43" s="10" t="s">
        <v>231</v>
      </c>
      <c r="O43" s="1" t="s">
        <v>222</v>
      </c>
    </row>
    <row r="44" spans="1:15" ht="15" customHeight="1" x14ac:dyDescent="0.25">
      <c r="A44" s="1" t="s">
        <v>113</v>
      </c>
      <c r="B44" s="5">
        <v>45400</v>
      </c>
      <c r="C44" s="1" t="s">
        <v>88</v>
      </c>
      <c r="D44" s="1" t="s">
        <v>61</v>
      </c>
      <c r="E44" s="1" t="s">
        <v>52</v>
      </c>
      <c r="F44" s="1" t="s">
        <v>69</v>
      </c>
      <c r="G44" s="1">
        <v>18</v>
      </c>
      <c r="H44" s="1">
        <v>70</v>
      </c>
      <c r="I44" s="1">
        <v>42</v>
      </c>
      <c r="J44" s="1">
        <v>1260</v>
      </c>
      <c r="K44" s="1">
        <v>504</v>
      </c>
      <c r="L44" s="1">
        <v>40</v>
      </c>
      <c r="M44" s="1">
        <v>2024</v>
      </c>
      <c r="N44" s="10" t="s">
        <v>225</v>
      </c>
      <c r="O44" s="1" t="s">
        <v>222</v>
      </c>
    </row>
    <row r="45" spans="1:15" ht="15" customHeight="1" x14ac:dyDescent="0.25">
      <c r="A45" s="1" t="s">
        <v>114</v>
      </c>
      <c r="B45" s="5">
        <v>44978</v>
      </c>
      <c r="C45" s="1" t="s">
        <v>60</v>
      </c>
      <c r="D45" s="1" t="s">
        <v>61</v>
      </c>
      <c r="E45" s="1" t="s">
        <v>52</v>
      </c>
      <c r="F45" s="1" t="s">
        <v>65</v>
      </c>
      <c r="G45" s="1">
        <v>8</v>
      </c>
      <c r="H45" s="1">
        <v>105</v>
      </c>
      <c r="I45" s="1">
        <v>63</v>
      </c>
      <c r="J45" s="1">
        <v>840</v>
      </c>
      <c r="K45" s="1">
        <v>336</v>
      </c>
      <c r="L45" s="1">
        <v>40</v>
      </c>
      <c r="M45" s="1">
        <v>2023</v>
      </c>
      <c r="N45" s="10" t="s">
        <v>233</v>
      </c>
      <c r="O45" s="1" t="s">
        <v>222</v>
      </c>
    </row>
    <row r="46" spans="1:15" ht="15" customHeight="1" x14ac:dyDescent="0.25">
      <c r="A46" s="1" t="s">
        <v>115</v>
      </c>
      <c r="B46" s="5">
        <v>45343</v>
      </c>
      <c r="C46" s="1" t="s">
        <v>86</v>
      </c>
      <c r="D46" s="1" t="s">
        <v>73</v>
      </c>
      <c r="E46" s="1" t="s">
        <v>78</v>
      </c>
      <c r="F46" s="1" t="s">
        <v>58</v>
      </c>
      <c r="G46" s="1">
        <v>13</v>
      </c>
      <c r="H46" s="1">
        <v>482</v>
      </c>
      <c r="I46" s="1">
        <v>289</v>
      </c>
      <c r="J46" s="1">
        <v>6266</v>
      </c>
      <c r="K46" s="1">
        <v>2509</v>
      </c>
      <c r="L46" s="1">
        <v>40.04</v>
      </c>
      <c r="M46" s="1">
        <v>2024</v>
      </c>
      <c r="N46" s="10" t="s">
        <v>233</v>
      </c>
      <c r="O46" s="1" t="s">
        <v>222</v>
      </c>
    </row>
    <row r="47" spans="1:15" ht="15" customHeight="1" x14ac:dyDescent="0.25">
      <c r="A47" s="1" t="s">
        <v>116</v>
      </c>
      <c r="B47" s="5">
        <v>44987</v>
      </c>
      <c r="C47" s="1" t="s">
        <v>80</v>
      </c>
      <c r="D47" s="1" t="s">
        <v>51</v>
      </c>
      <c r="E47" s="1" t="s">
        <v>78</v>
      </c>
      <c r="F47" s="1" t="s">
        <v>65</v>
      </c>
      <c r="G47" s="1">
        <v>13</v>
      </c>
      <c r="H47" s="1">
        <v>593</v>
      </c>
      <c r="I47" s="1">
        <v>355</v>
      </c>
      <c r="J47" s="1">
        <v>7709</v>
      </c>
      <c r="K47" s="1">
        <v>3094</v>
      </c>
      <c r="L47" s="1">
        <v>40.130000000000003</v>
      </c>
      <c r="M47" s="1">
        <v>2023</v>
      </c>
      <c r="N47" s="10" t="s">
        <v>226</v>
      </c>
      <c r="O47" s="1" t="s">
        <v>222</v>
      </c>
    </row>
    <row r="48" spans="1:15" ht="15" customHeight="1" x14ac:dyDescent="0.25">
      <c r="A48" s="1" t="s">
        <v>117</v>
      </c>
      <c r="B48" s="5">
        <v>45392</v>
      </c>
      <c r="C48" s="1" t="s">
        <v>99</v>
      </c>
      <c r="D48" s="1" t="s">
        <v>61</v>
      </c>
      <c r="E48" s="1" t="s">
        <v>78</v>
      </c>
      <c r="F48" s="1" t="s">
        <v>55</v>
      </c>
      <c r="G48" s="1">
        <v>16</v>
      </c>
      <c r="H48" s="1">
        <v>99</v>
      </c>
      <c r="I48" s="1">
        <v>59</v>
      </c>
      <c r="J48" s="1">
        <v>1584</v>
      </c>
      <c r="K48" s="1">
        <v>640</v>
      </c>
      <c r="L48" s="1">
        <v>40.4</v>
      </c>
      <c r="M48" s="1">
        <v>2024</v>
      </c>
      <c r="N48" s="10" t="s">
        <v>225</v>
      </c>
      <c r="O48" s="1" t="s">
        <v>222</v>
      </c>
    </row>
    <row r="49" spans="1:15" ht="15" customHeight="1" x14ac:dyDescent="0.25">
      <c r="A49" s="1" t="s">
        <v>118</v>
      </c>
      <c r="B49" s="5">
        <v>45121</v>
      </c>
      <c r="C49" s="1" t="s">
        <v>99</v>
      </c>
      <c r="D49" s="1" t="s">
        <v>61</v>
      </c>
      <c r="E49" s="1" t="s">
        <v>57</v>
      </c>
      <c r="F49" s="1" t="s">
        <v>65</v>
      </c>
      <c r="G49" s="1">
        <v>19</v>
      </c>
      <c r="H49" s="1">
        <v>396</v>
      </c>
      <c r="I49" s="1">
        <v>237</v>
      </c>
      <c r="J49" s="1">
        <v>7524</v>
      </c>
      <c r="K49" s="1">
        <v>3021</v>
      </c>
      <c r="L49" s="1">
        <v>40.15</v>
      </c>
      <c r="M49" s="1">
        <v>2023</v>
      </c>
      <c r="N49" s="10" t="s">
        <v>231</v>
      </c>
      <c r="O49" s="1" t="s">
        <v>222</v>
      </c>
    </row>
    <row r="50" spans="1:15" ht="15" customHeight="1" x14ac:dyDescent="0.25">
      <c r="A50" s="1" t="s">
        <v>119</v>
      </c>
      <c r="B50" s="5">
        <v>45482</v>
      </c>
      <c r="C50" s="1" t="s">
        <v>76</v>
      </c>
      <c r="D50" s="1" t="s">
        <v>51</v>
      </c>
      <c r="E50" s="1" t="s">
        <v>64</v>
      </c>
      <c r="F50" s="1" t="s">
        <v>65</v>
      </c>
      <c r="G50" s="1">
        <v>2</v>
      </c>
      <c r="H50" s="1">
        <v>1246</v>
      </c>
      <c r="I50" s="1">
        <v>747</v>
      </c>
      <c r="J50" s="1">
        <v>2492</v>
      </c>
      <c r="K50" s="1">
        <v>998</v>
      </c>
      <c r="L50" s="1">
        <v>40.049999999999997</v>
      </c>
      <c r="M50" s="1">
        <v>2024</v>
      </c>
      <c r="N50" s="10" t="s">
        <v>231</v>
      </c>
      <c r="O50" s="1" t="s">
        <v>222</v>
      </c>
    </row>
    <row r="51" spans="1:15" ht="15" customHeight="1" x14ac:dyDescent="0.25">
      <c r="A51" s="1" t="s">
        <v>120</v>
      </c>
      <c r="B51" s="5">
        <v>45415</v>
      </c>
      <c r="C51" s="1" t="s">
        <v>60</v>
      </c>
      <c r="D51" s="1" t="s">
        <v>61</v>
      </c>
      <c r="E51" s="1" t="s">
        <v>57</v>
      </c>
      <c r="F51" s="1" t="s">
        <v>65</v>
      </c>
      <c r="G51" s="1">
        <v>17</v>
      </c>
      <c r="H51" s="1">
        <v>61</v>
      </c>
      <c r="I51" s="1">
        <v>36</v>
      </c>
      <c r="J51" s="1">
        <v>1037</v>
      </c>
      <c r="K51" s="1">
        <v>425</v>
      </c>
      <c r="L51" s="1">
        <v>40.98</v>
      </c>
      <c r="M51" s="1">
        <v>2024</v>
      </c>
      <c r="N51" s="10" t="s">
        <v>223</v>
      </c>
      <c r="O51" s="1" t="s">
        <v>222</v>
      </c>
    </row>
    <row r="52" spans="1:15" ht="15" customHeight="1" x14ac:dyDescent="0.25">
      <c r="A52" s="1" t="s">
        <v>121</v>
      </c>
      <c r="B52" s="5">
        <v>45117</v>
      </c>
      <c r="C52" s="1" t="s">
        <v>50</v>
      </c>
      <c r="D52" s="1" t="s">
        <v>51</v>
      </c>
      <c r="E52" s="1" t="s">
        <v>52</v>
      </c>
      <c r="F52" s="1" t="s">
        <v>58</v>
      </c>
      <c r="G52" s="1">
        <v>13</v>
      </c>
      <c r="H52" s="1">
        <v>295</v>
      </c>
      <c r="I52" s="1">
        <v>177</v>
      </c>
      <c r="J52" s="1">
        <v>3835</v>
      </c>
      <c r="K52" s="1">
        <v>1534</v>
      </c>
      <c r="L52" s="1">
        <v>40</v>
      </c>
      <c r="M52" s="1">
        <v>2023</v>
      </c>
      <c r="N52" s="10" t="s">
        <v>231</v>
      </c>
      <c r="O52" s="1" t="s">
        <v>222</v>
      </c>
    </row>
    <row r="53" spans="1:15" ht="15" customHeight="1" x14ac:dyDescent="0.25">
      <c r="A53" s="1" t="s">
        <v>122</v>
      </c>
      <c r="B53" s="5">
        <v>45510</v>
      </c>
      <c r="C53" s="1" t="s">
        <v>88</v>
      </c>
      <c r="D53" s="1" t="s">
        <v>61</v>
      </c>
      <c r="E53" s="1" t="s">
        <v>52</v>
      </c>
      <c r="F53" s="1" t="s">
        <v>55</v>
      </c>
      <c r="G53" s="1">
        <v>3</v>
      </c>
      <c r="H53" s="1">
        <v>234</v>
      </c>
      <c r="I53" s="1">
        <v>140</v>
      </c>
      <c r="J53" s="1">
        <v>702</v>
      </c>
      <c r="K53" s="1">
        <v>282</v>
      </c>
      <c r="L53" s="1">
        <v>40.17</v>
      </c>
      <c r="M53" s="1">
        <v>2024</v>
      </c>
      <c r="N53" s="10" t="s">
        <v>228</v>
      </c>
      <c r="O53" s="1" t="s">
        <v>222</v>
      </c>
    </row>
    <row r="54" spans="1:15" ht="15" customHeight="1" x14ac:dyDescent="0.25">
      <c r="A54" s="1" t="s">
        <v>123</v>
      </c>
      <c r="B54" s="5">
        <v>45600</v>
      </c>
      <c r="C54" s="1" t="s">
        <v>63</v>
      </c>
      <c r="D54" s="1" t="s">
        <v>61</v>
      </c>
      <c r="E54" s="1" t="s">
        <v>64</v>
      </c>
      <c r="F54" s="1" t="s">
        <v>53</v>
      </c>
      <c r="G54" s="1">
        <v>7</v>
      </c>
      <c r="H54" s="1">
        <v>362</v>
      </c>
      <c r="I54" s="1">
        <v>217</v>
      </c>
      <c r="J54" s="1">
        <v>2534</v>
      </c>
      <c r="K54" s="1">
        <v>1015</v>
      </c>
      <c r="L54" s="1">
        <v>40.06</v>
      </c>
      <c r="M54" s="1">
        <v>2024</v>
      </c>
      <c r="N54" s="10" t="s">
        <v>229</v>
      </c>
      <c r="O54" s="1" t="s">
        <v>222</v>
      </c>
    </row>
    <row r="55" spans="1:15" ht="15" customHeight="1" x14ac:dyDescent="0.25">
      <c r="A55" s="1" t="s">
        <v>124</v>
      </c>
      <c r="B55" s="5">
        <v>45248</v>
      </c>
      <c r="C55" s="1" t="s">
        <v>88</v>
      </c>
      <c r="D55" s="1" t="s">
        <v>61</v>
      </c>
      <c r="E55" s="1" t="s">
        <v>64</v>
      </c>
      <c r="F55" s="1" t="s">
        <v>69</v>
      </c>
      <c r="G55" s="1">
        <v>5</v>
      </c>
      <c r="H55" s="1">
        <v>363</v>
      </c>
      <c r="I55" s="1">
        <v>217</v>
      </c>
      <c r="J55" s="1">
        <v>1815</v>
      </c>
      <c r="K55" s="1">
        <v>730</v>
      </c>
      <c r="L55" s="1">
        <v>40.22</v>
      </c>
      <c r="M55" s="1">
        <v>2023</v>
      </c>
      <c r="N55" s="10" t="s">
        <v>229</v>
      </c>
      <c r="O55" s="1" t="s">
        <v>222</v>
      </c>
    </row>
    <row r="56" spans="1:15" ht="15" customHeight="1" x14ac:dyDescent="0.25">
      <c r="A56" s="1" t="s">
        <v>125</v>
      </c>
      <c r="B56" s="5">
        <v>45587</v>
      </c>
      <c r="C56" s="1" t="s">
        <v>99</v>
      </c>
      <c r="D56" s="1" t="s">
        <v>61</v>
      </c>
      <c r="E56" s="1" t="s">
        <v>78</v>
      </c>
      <c r="F56" s="1" t="s">
        <v>53</v>
      </c>
      <c r="G56" s="1">
        <v>3</v>
      </c>
      <c r="H56" s="1">
        <v>24</v>
      </c>
      <c r="I56" s="1">
        <v>14</v>
      </c>
      <c r="J56" s="1">
        <v>72</v>
      </c>
      <c r="K56" s="1">
        <v>30</v>
      </c>
      <c r="L56" s="1">
        <v>41.67</v>
      </c>
      <c r="M56" s="1">
        <v>2024</v>
      </c>
      <c r="N56" s="10" t="s">
        <v>221</v>
      </c>
      <c r="O56" s="1" t="s">
        <v>222</v>
      </c>
    </row>
    <row r="57" spans="1:15" ht="15" customHeight="1" x14ac:dyDescent="0.25">
      <c r="A57" s="1" t="s">
        <v>126</v>
      </c>
      <c r="B57" s="5">
        <v>45396</v>
      </c>
      <c r="C57" s="1" t="s">
        <v>63</v>
      </c>
      <c r="D57" s="1" t="s">
        <v>61</v>
      </c>
      <c r="E57" s="1" t="s">
        <v>52</v>
      </c>
      <c r="F57" s="1" t="s">
        <v>65</v>
      </c>
      <c r="G57" s="1">
        <v>18</v>
      </c>
      <c r="H57" s="1">
        <v>129</v>
      </c>
      <c r="I57" s="1">
        <v>77</v>
      </c>
      <c r="J57" s="1">
        <v>2322</v>
      </c>
      <c r="K57" s="1">
        <v>936</v>
      </c>
      <c r="L57" s="1">
        <v>40.31</v>
      </c>
      <c r="M57" s="1">
        <v>2024</v>
      </c>
      <c r="N57" s="10" t="s">
        <v>225</v>
      </c>
      <c r="O57" s="1" t="s">
        <v>222</v>
      </c>
    </row>
    <row r="58" spans="1:15" ht="15" customHeight="1" x14ac:dyDescent="0.25">
      <c r="A58" s="1" t="s">
        <v>127</v>
      </c>
      <c r="B58" s="5">
        <v>45445</v>
      </c>
      <c r="C58" s="1" t="s">
        <v>99</v>
      </c>
      <c r="D58" s="1" t="s">
        <v>61</v>
      </c>
      <c r="E58" s="1" t="s">
        <v>57</v>
      </c>
      <c r="F58" s="1" t="s">
        <v>53</v>
      </c>
      <c r="G58" s="1">
        <v>3</v>
      </c>
      <c r="H58" s="1">
        <v>470</v>
      </c>
      <c r="I58" s="1">
        <v>282</v>
      </c>
      <c r="J58" s="1">
        <v>1410</v>
      </c>
      <c r="K58" s="1">
        <v>564</v>
      </c>
      <c r="L58" s="1">
        <v>40</v>
      </c>
      <c r="M58" s="1">
        <v>2024</v>
      </c>
      <c r="N58" s="10" t="s">
        <v>230</v>
      </c>
      <c r="O58" s="1" t="s">
        <v>222</v>
      </c>
    </row>
    <row r="59" spans="1:15" ht="15" customHeight="1" x14ac:dyDescent="0.25">
      <c r="A59" s="1" t="s">
        <v>128</v>
      </c>
      <c r="B59" s="5">
        <v>45177</v>
      </c>
      <c r="C59" s="1" t="s">
        <v>67</v>
      </c>
      <c r="D59" s="1" t="s">
        <v>61</v>
      </c>
      <c r="E59" s="1" t="s">
        <v>64</v>
      </c>
      <c r="F59" s="1" t="s">
        <v>58</v>
      </c>
      <c r="G59" s="1">
        <v>15</v>
      </c>
      <c r="H59" s="1">
        <v>446</v>
      </c>
      <c r="I59" s="1">
        <v>267</v>
      </c>
      <c r="J59" s="1">
        <v>6690</v>
      </c>
      <c r="K59" s="1">
        <v>2685</v>
      </c>
      <c r="L59" s="1">
        <v>40.130000000000003</v>
      </c>
      <c r="M59" s="1">
        <v>2023</v>
      </c>
      <c r="N59" s="10" t="s">
        <v>232</v>
      </c>
      <c r="O59" s="1" t="s">
        <v>222</v>
      </c>
    </row>
    <row r="60" spans="1:15" ht="15" customHeight="1" x14ac:dyDescent="0.25">
      <c r="A60" s="1" t="s">
        <v>129</v>
      </c>
      <c r="B60" s="5">
        <v>45483</v>
      </c>
      <c r="C60" s="1" t="s">
        <v>99</v>
      </c>
      <c r="D60" s="1" t="s">
        <v>61</v>
      </c>
      <c r="E60" s="1" t="s">
        <v>52</v>
      </c>
      <c r="F60" s="1" t="s">
        <v>55</v>
      </c>
      <c r="G60" s="1">
        <v>10</v>
      </c>
      <c r="H60" s="1">
        <v>497</v>
      </c>
      <c r="I60" s="1">
        <v>298</v>
      </c>
      <c r="J60" s="1">
        <v>4970</v>
      </c>
      <c r="K60" s="1">
        <v>1990</v>
      </c>
      <c r="L60" s="1">
        <v>40.04</v>
      </c>
      <c r="M60" s="1">
        <v>2024</v>
      </c>
      <c r="N60" s="10" t="s">
        <v>231</v>
      </c>
      <c r="O60" s="1" t="s">
        <v>222</v>
      </c>
    </row>
    <row r="61" spans="1:15" ht="15" customHeight="1" x14ac:dyDescent="0.25">
      <c r="A61" s="1" t="s">
        <v>130</v>
      </c>
      <c r="B61" s="5">
        <v>45606</v>
      </c>
      <c r="C61" s="1" t="s">
        <v>50</v>
      </c>
      <c r="D61" s="1" t="s">
        <v>51</v>
      </c>
      <c r="E61" s="1" t="s">
        <v>57</v>
      </c>
      <c r="F61" s="1" t="s">
        <v>53</v>
      </c>
      <c r="G61" s="1">
        <v>4</v>
      </c>
      <c r="H61" s="1">
        <v>1872</v>
      </c>
      <c r="I61" s="1">
        <v>1123</v>
      </c>
      <c r="J61" s="1">
        <v>7488</v>
      </c>
      <c r="K61" s="1">
        <v>2996</v>
      </c>
      <c r="L61" s="1">
        <v>40.01</v>
      </c>
      <c r="M61" s="1">
        <v>2024</v>
      </c>
      <c r="N61" s="10" t="s">
        <v>229</v>
      </c>
      <c r="O61" s="1" t="s">
        <v>222</v>
      </c>
    </row>
    <row r="62" spans="1:15" ht="15" customHeight="1" x14ac:dyDescent="0.25">
      <c r="A62" s="1" t="s">
        <v>131</v>
      </c>
      <c r="B62" s="5">
        <v>45036</v>
      </c>
      <c r="C62" s="1" t="s">
        <v>60</v>
      </c>
      <c r="D62" s="1" t="s">
        <v>61</v>
      </c>
      <c r="E62" s="1" t="s">
        <v>57</v>
      </c>
      <c r="F62" s="1" t="s">
        <v>53</v>
      </c>
      <c r="G62" s="1">
        <v>10</v>
      </c>
      <c r="H62" s="1">
        <v>329</v>
      </c>
      <c r="I62" s="1">
        <v>197</v>
      </c>
      <c r="J62" s="1">
        <v>3290</v>
      </c>
      <c r="K62" s="1">
        <v>1320</v>
      </c>
      <c r="L62" s="1">
        <v>40.119999999999997</v>
      </c>
      <c r="M62" s="1">
        <v>2023</v>
      </c>
      <c r="N62" s="10" t="s">
        <v>225</v>
      </c>
      <c r="O62" s="1" t="s">
        <v>222</v>
      </c>
    </row>
    <row r="63" spans="1:15" ht="15" customHeight="1" x14ac:dyDescent="0.25">
      <c r="A63" s="1" t="s">
        <v>132</v>
      </c>
      <c r="B63" s="5">
        <v>45142</v>
      </c>
      <c r="C63" s="1" t="s">
        <v>67</v>
      </c>
      <c r="D63" s="1" t="s">
        <v>61</v>
      </c>
      <c r="E63" s="1" t="s">
        <v>57</v>
      </c>
      <c r="F63" s="1" t="s">
        <v>53</v>
      </c>
      <c r="G63" s="1">
        <v>17</v>
      </c>
      <c r="H63" s="1">
        <v>270</v>
      </c>
      <c r="I63" s="1">
        <v>162</v>
      </c>
      <c r="J63" s="1">
        <v>4590</v>
      </c>
      <c r="K63" s="1">
        <v>1836</v>
      </c>
      <c r="L63" s="1">
        <v>40</v>
      </c>
      <c r="M63" s="1">
        <v>2023</v>
      </c>
      <c r="N63" s="10" t="s">
        <v>228</v>
      </c>
      <c r="O63" s="1" t="s">
        <v>222</v>
      </c>
    </row>
    <row r="64" spans="1:15" ht="15" customHeight="1" x14ac:dyDescent="0.25">
      <c r="A64" s="1" t="s">
        <v>133</v>
      </c>
      <c r="B64" s="5">
        <v>45184</v>
      </c>
      <c r="C64" s="1" t="s">
        <v>76</v>
      </c>
      <c r="D64" s="1" t="s">
        <v>51</v>
      </c>
      <c r="E64" s="1" t="s">
        <v>52</v>
      </c>
      <c r="F64" s="1" t="s">
        <v>69</v>
      </c>
      <c r="G64" s="1">
        <v>9</v>
      </c>
      <c r="H64" s="1">
        <v>140</v>
      </c>
      <c r="I64" s="1">
        <v>84</v>
      </c>
      <c r="J64" s="1">
        <v>1260</v>
      </c>
      <c r="K64" s="1">
        <v>504</v>
      </c>
      <c r="L64" s="1">
        <v>40</v>
      </c>
      <c r="M64" s="1">
        <v>2023</v>
      </c>
      <c r="N64" s="10" t="s">
        <v>232</v>
      </c>
      <c r="O64" s="1" t="s">
        <v>222</v>
      </c>
    </row>
    <row r="65" spans="1:15" ht="15" customHeight="1" x14ac:dyDescent="0.25">
      <c r="A65" s="1" t="s">
        <v>134</v>
      </c>
      <c r="B65" s="5">
        <v>44930</v>
      </c>
      <c r="C65" s="1" t="s">
        <v>67</v>
      </c>
      <c r="D65" s="1" t="s">
        <v>61</v>
      </c>
      <c r="E65" s="1" t="s">
        <v>57</v>
      </c>
      <c r="F65" s="1" t="s">
        <v>53</v>
      </c>
      <c r="G65" s="1">
        <v>6</v>
      </c>
      <c r="H65" s="1">
        <v>399</v>
      </c>
      <c r="I65" s="1">
        <v>239</v>
      </c>
      <c r="J65" s="1">
        <v>2394</v>
      </c>
      <c r="K65" s="1">
        <v>960</v>
      </c>
      <c r="L65" s="1">
        <v>40.1</v>
      </c>
      <c r="M65" s="1">
        <v>2023</v>
      </c>
      <c r="N65" s="10" t="s">
        <v>224</v>
      </c>
      <c r="O65" s="1" t="s">
        <v>222</v>
      </c>
    </row>
    <row r="66" spans="1:15" ht="15" customHeight="1" x14ac:dyDescent="0.25">
      <c r="A66" s="1" t="s">
        <v>135</v>
      </c>
      <c r="B66" s="5">
        <v>45379</v>
      </c>
      <c r="C66" s="1" t="s">
        <v>60</v>
      </c>
      <c r="D66" s="1" t="s">
        <v>61</v>
      </c>
      <c r="E66" s="1" t="s">
        <v>78</v>
      </c>
      <c r="F66" s="1" t="s">
        <v>55</v>
      </c>
      <c r="G66" s="1">
        <v>1</v>
      </c>
      <c r="H66" s="1">
        <v>77</v>
      </c>
      <c r="I66" s="1">
        <v>46</v>
      </c>
      <c r="J66" s="1">
        <v>77</v>
      </c>
      <c r="K66" s="1">
        <v>31</v>
      </c>
      <c r="L66" s="1">
        <v>40.26</v>
      </c>
      <c r="M66" s="1">
        <v>2024</v>
      </c>
      <c r="N66" s="10" t="s">
        <v>226</v>
      </c>
      <c r="O66" s="1" t="s">
        <v>222</v>
      </c>
    </row>
    <row r="67" spans="1:15" ht="15" customHeight="1" x14ac:dyDescent="0.25">
      <c r="A67" s="1" t="s">
        <v>136</v>
      </c>
      <c r="B67" s="5">
        <v>45004</v>
      </c>
      <c r="C67" s="1" t="s">
        <v>80</v>
      </c>
      <c r="D67" s="1" t="s">
        <v>51</v>
      </c>
      <c r="E67" s="1" t="s">
        <v>52</v>
      </c>
      <c r="F67" s="1" t="s">
        <v>53</v>
      </c>
      <c r="G67" s="1">
        <v>19</v>
      </c>
      <c r="H67" s="1">
        <v>1181</v>
      </c>
      <c r="I67" s="1">
        <v>708</v>
      </c>
      <c r="J67" s="1">
        <v>22439</v>
      </c>
      <c r="K67" s="1">
        <v>8987</v>
      </c>
      <c r="L67" s="1">
        <v>40.049999999999997</v>
      </c>
      <c r="M67" s="1">
        <v>2023</v>
      </c>
      <c r="N67" s="10" t="s">
        <v>226</v>
      </c>
      <c r="O67" s="1" t="s">
        <v>222</v>
      </c>
    </row>
    <row r="68" spans="1:15" ht="15" customHeight="1" x14ac:dyDescent="0.25">
      <c r="A68" s="1" t="s">
        <v>137</v>
      </c>
      <c r="B68" s="5">
        <v>45078</v>
      </c>
      <c r="C68" s="1" t="s">
        <v>72</v>
      </c>
      <c r="D68" s="1" t="s">
        <v>73</v>
      </c>
      <c r="E68" s="1" t="s">
        <v>57</v>
      </c>
      <c r="F68" s="1" t="s">
        <v>65</v>
      </c>
      <c r="G68" s="1">
        <v>10</v>
      </c>
      <c r="H68" s="1">
        <v>206</v>
      </c>
      <c r="I68" s="1">
        <v>123</v>
      </c>
      <c r="J68" s="1">
        <v>2060</v>
      </c>
      <c r="K68" s="1">
        <v>830</v>
      </c>
      <c r="L68" s="1">
        <v>40.29</v>
      </c>
      <c r="M68" s="1">
        <v>2023</v>
      </c>
      <c r="N68" s="10" t="s">
        <v>230</v>
      </c>
      <c r="O68" s="1" t="s">
        <v>222</v>
      </c>
    </row>
    <row r="69" spans="1:15" ht="15" customHeight="1" x14ac:dyDescent="0.25">
      <c r="A69" s="1" t="s">
        <v>138</v>
      </c>
      <c r="B69" s="5">
        <v>44967</v>
      </c>
      <c r="C69" s="1" t="s">
        <v>67</v>
      </c>
      <c r="D69" s="1" t="s">
        <v>61</v>
      </c>
      <c r="E69" s="1" t="s">
        <v>57</v>
      </c>
      <c r="F69" s="1" t="s">
        <v>58</v>
      </c>
      <c r="G69" s="1">
        <v>4</v>
      </c>
      <c r="H69" s="1">
        <v>201</v>
      </c>
      <c r="I69" s="1">
        <v>120</v>
      </c>
      <c r="J69" s="1">
        <v>804</v>
      </c>
      <c r="K69" s="1">
        <v>324</v>
      </c>
      <c r="L69" s="1">
        <v>40.299999999999997</v>
      </c>
      <c r="M69" s="1">
        <v>2023</v>
      </c>
      <c r="N69" s="10" t="s">
        <v>233</v>
      </c>
      <c r="O69" s="1" t="s">
        <v>222</v>
      </c>
    </row>
    <row r="70" spans="1:15" ht="15" customHeight="1" x14ac:dyDescent="0.25">
      <c r="A70" s="1" t="s">
        <v>139</v>
      </c>
      <c r="B70" s="5">
        <v>45500</v>
      </c>
      <c r="C70" s="1" t="s">
        <v>72</v>
      </c>
      <c r="D70" s="1" t="s">
        <v>73</v>
      </c>
      <c r="E70" s="1" t="s">
        <v>57</v>
      </c>
      <c r="F70" s="1" t="s">
        <v>58</v>
      </c>
      <c r="G70" s="1">
        <v>6</v>
      </c>
      <c r="H70" s="1">
        <v>429</v>
      </c>
      <c r="I70" s="1">
        <v>257</v>
      </c>
      <c r="J70" s="1">
        <v>2574</v>
      </c>
      <c r="K70" s="1">
        <v>1032</v>
      </c>
      <c r="L70" s="1">
        <v>40.090000000000003</v>
      </c>
      <c r="M70" s="1">
        <v>2024</v>
      </c>
      <c r="N70" s="10" t="s">
        <v>231</v>
      </c>
      <c r="O70" s="1" t="s">
        <v>222</v>
      </c>
    </row>
    <row r="71" spans="1:15" ht="15" customHeight="1" x14ac:dyDescent="0.25">
      <c r="A71" s="1" t="s">
        <v>140</v>
      </c>
      <c r="B71" s="5">
        <v>45108</v>
      </c>
      <c r="C71" s="1" t="s">
        <v>72</v>
      </c>
      <c r="D71" s="1" t="s">
        <v>73</v>
      </c>
      <c r="E71" s="1" t="s">
        <v>52</v>
      </c>
      <c r="F71" s="1" t="s">
        <v>58</v>
      </c>
      <c r="G71" s="1">
        <v>11</v>
      </c>
      <c r="H71" s="1">
        <v>420</v>
      </c>
      <c r="I71" s="1">
        <v>252</v>
      </c>
      <c r="J71" s="1">
        <v>4620</v>
      </c>
      <c r="K71" s="1">
        <v>1848</v>
      </c>
      <c r="L71" s="1">
        <v>40</v>
      </c>
      <c r="M71" s="1">
        <v>2023</v>
      </c>
      <c r="N71" s="10" t="s">
        <v>231</v>
      </c>
      <c r="O71" s="1" t="s">
        <v>222</v>
      </c>
    </row>
    <row r="72" spans="1:15" ht="15" customHeight="1" x14ac:dyDescent="0.25">
      <c r="A72" s="1" t="s">
        <v>141</v>
      </c>
      <c r="B72" s="5">
        <v>45348</v>
      </c>
      <c r="C72" s="1" t="s">
        <v>88</v>
      </c>
      <c r="D72" s="1" t="s">
        <v>61</v>
      </c>
      <c r="E72" s="1" t="s">
        <v>64</v>
      </c>
      <c r="F72" s="1" t="s">
        <v>58</v>
      </c>
      <c r="G72" s="1">
        <v>4</v>
      </c>
      <c r="H72" s="1">
        <v>215</v>
      </c>
      <c r="I72" s="1">
        <v>129</v>
      </c>
      <c r="J72" s="1">
        <v>860</v>
      </c>
      <c r="K72" s="1">
        <v>344</v>
      </c>
      <c r="L72" s="1">
        <v>40</v>
      </c>
      <c r="M72" s="1">
        <v>2024</v>
      </c>
      <c r="N72" s="10" t="s">
        <v>233</v>
      </c>
      <c r="O72" s="1" t="s">
        <v>222</v>
      </c>
    </row>
    <row r="73" spans="1:15" ht="15" customHeight="1" x14ac:dyDescent="0.25">
      <c r="A73" s="1" t="s">
        <v>142</v>
      </c>
      <c r="B73" s="5">
        <v>44966</v>
      </c>
      <c r="C73" s="1" t="s">
        <v>86</v>
      </c>
      <c r="D73" s="1" t="s">
        <v>73</v>
      </c>
      <c r="E73" s="1" t="s">
        <v>57</v>
      </c>
      <c r="F73" s="1" t="s">
        <v>58</v>
      </c>
      <c r="G73" s="1">
        <v>15</v>
      </c>
      <c r="H73" s="1">
        <v>199</v>
      </c>
      <c r="I73" s="1">
        <v>119</v>
      </c>
      <c r="J73" s="1">
        <v>2985</v>
      </c>
      <c r="K73" s="1">
        <v>1200</v>
      </c>
      <c r="L73" s="1">
        <v>40.200000000000003</v>
      </c>
      <c r="M73" s="1">
        <v>2023</v>
      </c>
      <c r="N73" s="10" t="s">
        <v>233</v>
      </c>
      <c r="O73" s="1" t="s">
        <v>222</v>
      </c>
    </row>
    <row r="74" spans="1:15" ht="15" customHeight="1" x14ac:dyDescent="0.25">
      <c r="A74" s="1" t="s">
        <v>143</v>
      </c>
      <c r="B74" s="5">
        <v>45239</v>
      </c>
      <c r="C74" s="1" t="s">
        <v>88</v>
      </c>
      <c r="D74" s="1" t="s">
        <v>61</v>
      </c>
      <c r="E74" s="1" t="s">
        <v>57</v>
      </c>
      <c r="F74" s="1" t="s">
        <v>65</v>
      </c>
      <c r="G74" s="1">
        <v>7</v>
      </c>
      <c r="H74" s="1">
        <v>224</v>
      </c>
      <c r="I74" s="1">
        <v>134</v>
      </c>
      <c r="J74" s="1">
        <v>1568</v>
      </c>
      <c r="K74" s="1">
        <v>630</v>
      </c>
      <c r="L74" s="1">
        <v>40.18</v>
      </c>
      <c r="M74" s="1">
        <v>2023</v>
      </c>
      <c r="N74" s="10" t="s">
        <v>229</v>
      </c>
      <c r="O74" s="1" t="s">
        <v>222</v>
      </c>
    </row>
    <row r="75" spans="1:15" ht="15" customHeight="1" x14ac:dyDescent="0.25">
      <c r="A75" s="1" t="s">
        <v>144</v>
      </c>
      <c r="B75" s="5">
        <v>45263</v>
      </c>
      <c r="C75" s="1" t="s">
        <v>99</v>
      </c>
      <c r="D75" s="1" t="s">
        <v>61</v>
      </c>
      <c r="E75" s="1" t="s">
        <v>52</v>
      </c>
      <c r="F75" s="1" t="s">
        <v>53</v>
      </c>
      <c r="G75" s="1">
        <v>12</v>
      </c>
      <c r="H75" s="1">
        <v>348</v>
      </c>
      <c r="I75" s="1">
        <v>208</v>
      </c>
      <c r="J75" s="1">
        <v>4176</v>
      </c>
      <c r="K75" s="1">
        <v>1680</v>
      </c>
      <c r="L75" s="1">
        <v>40.229999999999997</v>
      </c>
      <c r="M75" s="1">
        <v>2023</v>
      </c>
      <c r="N75" s="10" t="s">
        <v>227</v>
      </c>
      <c r="O75" s="1" t="s">
        <v>222</v>
      </c>
    </row>
    <row r="76" spans="1:15" ht="15" customHeight="1" x14ac:dyDescent="0.25">
      <c r="A76" s="1" t="s">
        <v>145</v>
      </c>
      <c r="B76" s="5">
        <v>45448</v>
      </c>
      <c r="C76" s="1" t="s">
        <v>72</v>
      </c>
      <c r="D76" s="1" t="s">
        <v>73</v>
      </c>
      <c r="E76" s="1" t="s">
        <v>64</v>
      </c>
      <c r="F76" s="1" t="s">
        <v>65</v>
      </c>
      <c r="G76" s="1">
        <v>4</v>
      </c>
      <c r="H76" s="1">
        <v>469</v>
      </c>
      <c r="I76" s="1">
        <v>281</v>
      </c>
      <c r="J76" s="1">
        <v>1876</v>
      </c>
      <c r="K76" s="1">
        <v>752</v>
      </c>
      <c r="L76" s="1">
        <v>40.090000000000003</v>
      </c>
      <c r="M76" s="1">
        <v>2024</v>
      </c>
      <c r="N76" s="10" t="s">
        <v>230</v>
      </c>
      <c r="O76" s="1" t="s">
        <v>222</v>
      </c>
    </row>
    <row r="77" spans="1:15" ht="15" customHeight="1" x14ac:dyDescent="0.25">
      <c r="A77" s="1" t="s">
        <v>146</v>
      </c>
      <c r="B77" s="5">
        <v>45194</v>
      </c>
      <c r="C77" s="1" t="s">
        <v>80</v>
      </c>
      <c r="D77" s="1" t="s">
        <v>51</v>
      </c>
      <c r="E77" s="1" t="s">
        <v>64</v>
      </c>
      <c r="F77" s="1" t="s">
        <v>65</v>
      </c>
      <c r="G77" s="1">
        <v>4</v>
      </c>
      <c r="H77" s="1">
        <v>1271</v>
      </c>
      <c r="I77" s="1">
        <v>762</v>
      </c>
      <c r="J77" s="1">
        <v>5084</v>
      </c>
      <c r="K77" s="1">
        <v>2036</v>
      </c>
      <c r="L77" s="1">
        <v>40.049999999999997</v>
      </c>
      <c r="M77" s="1">
        <v>2023</v>
      </c>
      <c r="N77" s="10" t="s">
        <v>232</v>
      </c>
      <c r="O77" s="1" t="s">
        <v>222</v>
      </c>
    </row>
    <row r="78" spans="1:15" ht="15" customHeight="1" x14ac:dyDescent="0.25">
      <c r="A78" s="1" t="s">
        <v>147</v>
      </c>
      <c r="B78" s="5">
        <v>45371</v>
      </c>
      <c r="C78" s="1" t="s">
        <v>67</v>
      </c>
      <c r="D78" s="1" t="s">
        <v>61</v>
      </c>
      <c r="E78" s="1" t="s">
        <v>64</v>
      </c>
      <c r="F78" s="1" t="s">
        <v>69</v>
      </c>
      <c r="G78" s="1">
        <v>20</v>
      </c>
      <c r="H78" s="1">
        <v>281</v>
      </c>
      <c r="I78" s="1">
        <v>168</v>
      </c>
      <c r="J78" s="1">
        <v>5620</v>
      </c>
      <c r="K78" s="1">
        <v>2260</v>
      </c>
      <c r="L78" s="1">
        <v>40.21</v>
      </c>
      <c r="M78" s="1">
        <v>2024</v>
      </c>
      <c r="N78" s="10" t="s">
        <v>226</v>
      </c>
      <c r="O78" s="1" t="s">
        <v>222</v>
      </c>
    </row>
    <row r="79" spans="1:15" ht="15" customHeight="1" x14ac:dyDescent="0.25">
      <c r="A79" s="1" t="s">
        <v>148</v>
      </c>
      <c r="B79" s="5">
        <v>45045</v>
      </c>
      <c r="C79" s="1" t="s">
        <v>72</v>
      </c>
      <c r="D79" s="1" t="s">
        <v>73</v>
      </c>
      <c r="E79" s="1" t="s">
        <v>57</v>
      </c>
      <c r="F79" s="1" t="s">
        <v>53</v>
      </c>
      <c r="G79" s="1">
        <v>2</v>
      </c>
      <c r="H79" s="1">
        <v>382</v>
      </c>
      <c r="I79" s="1">
        <v>229</v>
      </c>
      <c r="J79" s="1">
        <v>764</v>
      </c>
      <c r="K79" s="1">
        <v>306</v>
      </c>
      <c r="L79" s="1">
        <v>40.049999999999997</v>
      </c>
      <c r="M79" s="1">
        <v>2023</v>
      </c>
      <c r="N79" s="10" t="s">
        <v>225</v>
      </c>
      <c r="O79" s="1" t="s">
        <v>222</v>
      </c>
    </row>
    <row r="80" spans="1:15" ht="15" customHeight="1" x14ac:dyDescent="0.25">
      <c r="A80" s="1" t="s">
        <v>149</v>
      </c>
      <c r="B80" s="5">
        <v>45373</v>
      </c>
      <c r="C80" s="1" t="s">
        <v>76</v>
      </c>
      <c r="D80" s="1" t="s">
        <v>51</v>
      </c>
      <c r="E80" s="1" t="s">
        <v>57</v>
      </c>
      <c r="F80" s="1" t="s">
        <v>53</v>
      </c>
      <c r="G80" s="1">
        <v>14</v>
      </c>
      <c r="H80" s="1">
        <v>193</v>
      </c>
      <c r="I80" s="1">
        <v>115</v>
      </c>
      <c r="J80" s="1">
        <v>2702</v>
      </c>
      <c r="K80" s="1">
        <v>1092</v>
      </c>
      <c r="L80" s="1">
        <v>40.409999999999997</v>
      </c>
      <c r="M80" s="1">
        <v>2024</v>
      </c>
      <c r="N80" s="10" t="s">
        <v>226</v>
      </c>
      <c r="O80" s="1" t="s">
        <v>222</v>
      </c>
    </row>
    <row r="81" spans="1:15" ht="15" customHeight="1" x14ac:dyDescent="0.25">
      <c r="A81" s="1" t="s">
        <v>150</v>
      </c>
      <c r="B81" s="5">
        <v>45607</v>
      </c>
      <c r="C81" s="1" t="s">
        <v>67</v>
      </c>
      <c r="D81" s="1" t="s">
        <v>61</v>
      </c>
      <c r="E81" s="1" t="s">
        <v>64</v>
      </c>
      <c r="F81" s="1" t="s">
        <v>65</v>
      </c>
      <c r="G81" s="1">
        <v>10</v>
      </c>
      <c r="H81" s="1">
        <v>279</v>
      </c>
      <c r="I81" s="1">
        <v>167</v>
      </c>
      <c r="J81" s="1">
        <v>2790</v>
      </c>
      <c r="K81" s="1">
        <v>1120</v>
      </c>
      <c r="L81" s="1">
        <v>40.14</v>
      </c>
      <c r="M81" s="1">
        <v>2024</v>
      </c>
      <c r="N81" s="10" t="s">
        <v>229</v>
      </c>
      <c r="O81" s="1" t="s">
        <v>222</v>
      </c>
    </row>
    <row r="82" spans="1:15" ht="15" customHeight="1" x14ac:dyDescent="0.25">
      <c r="A82" s="1" t="s">
        <v>151</v>
      </c>
      <c r="B82" s="5">
        <v>45243</v>
      </c>
      <c r="C82" s="1" t="s">
        <v>72</v>
      </c>
      <c r="D82" s="1" t="s">
        <v>73</v>
      </c>
      <c r="E82" s="1" t="s">
        <v>64</v>
      </c>
      <c r="F82" s="1" t="s">
        <v>69</v>
      </c>
      <c r="G82" s="1">
        <v>10</v>
      </c>
      <c r="H82" s="1">
        <v>303</v>
      </c>
      <c r="I82" s="1">
        <v>181</v>
      </c>
      <c r="J82" s="1">
        <v>3030</v>
      </c>
      <c r="K82" s="1">
        <v>1220</v>
      </c>
      <c r="L82" s="1">
        <v>40.26</v>
      </c>
      <c r="M82" s="1">
        <v>2023</v>
      </c>
      <c r="N82" s="10" t="s">
        <v>229</v>
      </c>
      <c r="O82" s="1" t="s">
        <v>222</v>
      </c>
    </row>
    <row r="83" spans="1:15" ht="15" customHeight="1" x14ac:dyDescent="0.25">
      <c r="A83" s="1" t="s">
        <v>152</v>
      </c>
      <c r="B83" s="5">
        <v>45057</v>
      </c>
      <c r="C83" s="1" t="s">
        <v>88</v>
      </c>
      <c r="D83" s="1" t="s">
        <v>61</v>
      </c>
      <c r="E83" s="1" t="s">
        <v>78</v>
      </c>
      <c r="F83" s="1" t="s">
        <v>69</v>
      </c>
      <c r="G83" s="1">
        <v>6</v>
      </c>
      <c r="H83" s="1">
        <v>335</v>
      </c>
      <c r="I83" s="1">
        <v>201</v>
      </c>
      <c r="J83" s="1">
        <v>2010</v>
      </c>
      <c r="K83" s="1">
        <v>804</v>
      </c>
      <c r="L83" s="1">
        <v>40</v>
      </c>
      <c r="M83" s="1">
        <v>2023</v>
      </c>
      <c r="N83" s="10" t="s">
        <v>223</v>
      </c>
      <c r="O83" s="1" t="s">
        <v>222</v>
      </c>
    </row>
    <row r="84" spans="1:15" ht="15" customHeight="1" x14ac:dyDescent="0.25">
      <c r="A84" s="1" t="s">
        <v>153</v>
      </c>
      <c r="B84" s="5">
        <v>45509</v>
      </c>
      <c r="C84" s="1" t="s">
        <v>99</v>
      </c>
      <c r="D84" s="1" t="s">
        <v>61</v>
      </c>
      <c r="E84" s="1" t="s">
        <v>78</v>
      </c>
      <c r="F84" s="1" t="s">
        <v>55</v>
      </c>
      <c r="G84" s="1">
        <v>1</v>
      </c>
      <c r="H84" s="1">
        <v>175</v>
      </c>
      <c r="I84" s="1">
        <v>105</v>
      </c>
      <c r="J84" s="1">
        <v>175</v>
      </c>
      <c r="K84" s="1">
        <v>70</v>
      </c>
      <c r="L84" s="1">
        <v>40</v>
      </c>
      <c r="M84" s="1">
        <v>2024</v>
      </c>
      <c r="N84" s="10" t="s">
        <v>228</v>
      </c>
      <c r="O84" s="1" t="s">
        <v>222</v>
      </c>
    </row>
    <row r="85" spans="1:15" ht="15" customHeight="1" x14ac:dyDescent="0.25">
      <c r="A85" s="1" t="s">
        <v>154</v>
      </c>
      <c r="B85" s="5">
        <v>45220</v>
      </c>
      <c r="C85" s="1" t="s">
        <v>88</v>
      </c>
      <c r="D85" s="1" t="s">
        <v>61</v>
      </c>
      <c r="E85" s="1" t="s">
        <v>78</v>
      </c>
      <c r="F85" s="1" t="s">
        <v>55</v>
      </c>
      <c r="G85" s="1">
        <v>20</v>
      </c>
      <c r="H85" s="1">
        <v>355</v>
      </c>
      <c r="I85" s="1">
        <v>213</v>
      </c>
      <c r="J85" s="1">
        <v>7100</v>
      </c>
      <c r="K85" s="1">
        <v>2840</v>
      </c>
      <c r="L85" s="1">
        <v>40</v>
      </c>
      <c r="M85" s="1">
        <v>2023</v>
      </c>
      <c r="N85" s="10" t="s">
        <v>221</v>
      </c>
      <c r="O85" s="1" t="s">
        <v>222</v>
      </c>
    </row>
    <row r="86" spans="1:15" ht="15" customHeight="1" x14ac:dyDescent="0.25">
      <c r="A86" s="1" t="s">
        <v>155</v>
      </c>
      <c r="B86" s="5">
        <v>45256</v>
      </c>
      <c r="C86" s="1" t="s">
        <v>86</v>
      </c>
      <c r="D86" s="1" t="s">
        <v>73</v>
      </c>
      <c r="E86" s="1" t="s">
        <v>78</v>
      </c>
      <c r="F86" s="1" t="s">
        <v>69</v>
      </c>
      <c r="G86" s="1">
        <v>7</v>
      </c>
      <c r="H86" s="1">
        <v>281</v>
      </c>
      <c r="I86" s="1">
        <v>168</v>
      </c>
      <c r="J86" s="1">
        <v>1967</v>
      </c>
      <c r="K86" s="1">
        <v>791</v>
      </c>
      <c r="L86" s="1">
        <v>40.21</v>
      </c>
      <c r="M86" s="1">
        <v>2023</v>
      </c>
      <c r="N86" s="10" t="s">
        <v>229</v>
      </c>
      <c r="O86" s="1" t="s">
        <v>222</v>
      </c>
    </row>
    <row r="87" spans="1:15" ht="15" customHeight="1" x14ac:dyDescent="0.25">
      <c r="A87" s="1" t="s">
        <v>156</v>
      </c>
      <c r="B87" s="5">
        <v>45411</v>
      </c>
      <c r="C87" s="1" t="s">
        <v>80</v>
      </c>
      <c r="D87" s="1" t="s">
        <v>51</v>
      </c>
      <c r="E87" s="1" t="s">
        <v>52</v>
      </c>
      <c r="F87" s="1" t="s">
        <v>53</v>
      </c>
      <c r="G87" s="1">
        <v>17</v>
      </c>
      <c r="H87" s="1">
        <v>1409</v>
      </c>
      <c r="I87" s="1">
        <v>845</v>
      </c>
      <c r="J87" s="1">
        <v>23953</v>
      </c>
      <c r="K87" s="1">
        <v>9588</v>
      </c>
      <c r="L87" s="1">
        <v>40.03</v>
      </c>
      <c r="M87" s="1">
        <v>2024</v>
      </c>
      <c r="N87" s="10" t="s">
        <v>225</v>
      </c>
      <c r="O87" s="1" t="s">
        <v>222</v>
      </c>
    </row>
    <row r="88" spans="1:15" ht="15" customHeight="1" x14ac:dyDescent="0.25">
      <c r="A88" s="1" t="s">
        <v>157</v>
      </c>
      <c r="B88" s="5">
        <v>45575</v>
      </c>
      <c r="C88" s="1" t="s">
        <v>63</v>
      </c>
      <c r="D88" s="1" t="s">
        <v>61</v>
      </c>
      <c r="E88" s="1" t="s">
        <v>64</v>
      </c>
      <c r="F88" s="1" t="s">
        <v>65</v>
      </c>
      <c r="G88" s="1">
        <v>8</v>
      </c>
      <c r="H88" s="1">
        <v>364</v>
      </c>
      <c r="I88" s="1">
        <v>218</v>
      </c>
      <c r="J88" s="1">
        <v>2912</v>
      </c>
      <c r="K88" s="1">
        <v>1168</v>
      </c>
      <c r="L88" s="1">
        <v>40.11</v>
      </c>
      <c r="M88" s="1">
        <v>2024</v>
      </c>
      <c r="N88" s="10" t="s">
        <v>221</v>
      </c>
      <c r="O88" s="1" t="s">
        <v>222</v>
      </c>
    </row>
    <row r="89" spans="1:15" ht="15" customHeight="1" x14ac:dyDescent="0.25">
      <c r="A89" s="1" t="s">
        <v>158</v>
      </c>
      <c r="B89" s="5">
        <v>45244</v>
      </c>
      <c r="C89" s="1" t="s">
        <v>88</v>
      </c>
      <c r="D89" s="1" t="s">
        <v>61</v>
      </c>
      <c r="E89" s="1" t="s">
        <v>57</v>
      </c>
      <c r="F89" s="1" t="s">
        <v>58</v>
      </c>
      <c r="G89" s="1">
        <v>1</v>
      </c>
      <c r="H89" s="1">
        <v>43</v>
      </c>
      <c r="I89" s="1">
        <v>25</v>
      </c>
      <c r="J89" s="1">
        <v>43</v>
      </c>
      <c r="K89" s="1">
        <v>18</v>
      </c>
      <c r="L89" s="1">
        <v>41.86</v>
      </c>
      <c r="M89" s="1">
        <v>2023</v>
      </c>
      <c r="N89" s="10" t="s">
        <v>229</v>
      </c>
      <c r="O89" s="1" t="s">
        <v>222</v>
      </c>
    </row>
    <row r="90" spans="1:15" ht="15" customHeight="1" x14ac:dyDescent="0.25">
      <c r="A90" s="1" t="s">
        <v>159</v>
      </c>
      <c r="B90" s="5">
        <v>45177</v>
      </c>
      <c r="C90" s="1" t="s">
        <v>86</v>
      </c>
      <c r="D90" s="1" t="s">
        <v>73</v>
      </c>
      <c r="E90" s="1" t="s">
        <v>52</v>
      </c>
      <c r="F90" s="1" t="s">
        <v>69</v>
      </c>
      <c r="G90" s="1">
        <v>14</v>
      </c>
      <c r="H90" s="1">
        <v>473</v>
      </c>
      <c r="I90" s="1">
        <v>283</v>
      </c>
      <c r="J90" s="1">
        <v>6622</v>
      </c>
      <c r="K90" s="1">
        <v>2660</v>
      </c>
      <c r="L90" s="1">
        <v>40.17</v>
      </c>
      <c r="M90" s="1">
        <v>2023</v>
      </c>
      <c r="N90" s="10" t="s">
        <v>232</v>
      </c>
      <c r="O90" s="1" t="s">
        <v>222</v>
      </c>
    </row>
    <row r="91" spans="1:15" ht="15" customHeight="1" x14ac:dyDescent="0.25">
      <c r="A91" s="1" t="s">
        <v>160</v>
      </c>
      <c r="B91" s="5">
        <v>45571</v>
      </c>
      <c r="C91" s="1" t="s">
        <v>63</v>
      </c>
      <c r="D91" s="1" t="s">
        <v>61</v>
      </c>
      <c r="E91" s="1" t="s">
        <v>57</v>
      </c>
      <c r="F91" s="1" t="s">
        <v>69</v>
      </c>
      <c r="G91" s="1">
        <v>16</v>
      </c>
      <c r="H91" s="1">
        <v>224</v>
      </c>
      <c r="I91" s="1">
        <v>134</v>
      </c>
      <c r="J91" s="1">
        <v>3584</v>
      </c>
      <c r="K91" s="1">
        <v>1440</v>
      </c>
      <c r="L91" s="1">
        <v>40.18</v>
      </c>
      <c r="M91" s="1">
        <v>2024</v>
      </c>
      <c r="N91" s="10" t="s">
        <v>221</v>
      </c>
      <c r="O91" s="1" t="s">
        <v>222</v>
      </c>
    </row>
    <row r="92" spans="1:15" ht="15" customHeight="1" x14ac:dyDescent="0.25">
      <c r="A92" s="1" t="s">
        <v>161</v>
      </c>
      <c r="B92" s="5">
        <v>45176</v>
      </c>
      <c r="C92" s="1" t="s">
        <v>80</v>
      </c>
      <c r="D92" s="1" t="s">
        <v>51</v>
      </c>
      <c r="E92" s="1" t="s">
        <v>52</v>
      </c>
      <c r="F92" s="1" t="s">
        <v>65</v>
      </c>
      <c r="G92" s="1">
        <v>14</v>
      </c>
      <c r="H92" s="1">
        <v>498</v>
      </c>
      <c r="I92" s="1">
        <v>298</v>
      </c>
      <c r="J92" s="1">
        <v>6972</v>
      </c>
      <c r="K92" s="1">
        <v>2800</v>
      </c>
      <c r="L92" s="1">
        <v>40.159999999999997</v>
      </c>
      <c r="M92" s="1">
        <v>2023</v>
      </c>
      <c r="N92" s="10" t="s">
        <v>232</v>
      </c>
      <c r="O92" s="1" t="s">
        <v>222</v>
      </c>
    </row>
    <row r="93" spans="1:15" ht="15" customHeight="1" x14ac:dyDescent="0.25">
      <c r="A93" s="1" t="s">
        <v>162</v>
      </c>
      <c r="B93" s="5">
        <v>45107</v>
      </c>
      <c r="C93" s="1" t="s">
        <v>60</v>
      </c>
      <c r="D93" s="1" t="s">
        <v>61</v>
      </c>
      <c r="E93" s="1" t="s">
        <v>78</v>
      </c>
      <c r="F93" s="1" t="s">
        <v>65</v>
      </c>
      <c r="G93" s="1">
        <v>18</v>
      </c>
      <c r="H93" s="1">
        <v>147</v>
      </c>
      <c r="I93" s="1">
        <v>88</v>
      </c>
      <c r="J93" s="1">
        <v>2646</v>
      </c>
      <c r="K93" s="1">
        <v>1062</v>
      </c>
      <c r="L93" s="1">
        <v>40.14</v>
      </c>
      <c r="M93" s="1">
        <v>2023</v>
      </c>
      <c r="N93" s="10" t="s">
        <v>230</v>
      </c>
      <c r="O93" s="1" t="s">
        <v>222</v>
      </c>
    </row>
    <row r="94" spans="1:15" ht="15" customHeight="1" x14ac:dyDescent="0.25">
      <c r="A94" s="1" t="s">
        <v>163</v>
      </c>
      <c r="B94" s="5">
        <v>45051</v>
      </c>
      <c r="C94" s="1" t="s">
        <v>86</v>
      </c>
      <c r="D94" s="1" t="s">
        <v>73</v>
      </c>
      <c r="E94" s="1" t="s">
        <v>57</v>
      </c>
      <c r="F94" s="1" t="s">
        <v>69</v>
      </c>
      <c r="G94" s="1">
        <v>17</v>
      </c>
      <c r="H94" s="1">
        <v>306</v>
      </c>
      <c r="I94" s="1">
        <v>183</v>
      </c>
      <c r="J94" s="1">
        <v>5202</v>
      </c>
      <c r="K94" s="1">
        <v>2091</v>
      </c>
      <c r="L94" s="1">
        <v>40.200000000000003</v>
      </c>
      <c r="M94" s="1">
        <v>2023</v>
      </c>
      <c r="N94" s="10" t="s">
        <v>223</v>
      </c>
      <c r="O94" s="1" t="s">
        <v>222</v>
      </c>
    </row>
    <row r="95" spans="1:15" ht="15" customHeight="1" x14ac:dyDescent="0.25">
      <c r="A95" s="1" t="s">
        <v>164</v>
      </c>
      <c r="B95" s="5">
        <v>45536</v>
      </c>
      <c r="C95" s="1" t="s">
        <v>67</v>
      </c>
      <c r="D95" s="1" t="s">
        <v>61</v>
      </c>
      <c r="E95" s="1" t="s">
        <v>78</v>
      </c>
      <c r="F95" s="1" t="s">
        <v>55</v>
      </c>
      <c r="G95" s="1">
        <v>17</v>
      </c>
      <c r="H95" s="1">
        <v>238</v>
      </c>
      <c r="I95" s="1">
        <v>142</v>
      </c>
      <c r="J95" s="1">
        <v>4046</v>
      </c>
      <c r="K95" s="1">
        <v>1632</v>
      </c>
      <c r="L95" s="1">
        <v>40.340000000000003</v>
      </c>
      <c r="M95" s="1">
        <v>2024</v>
      </c>
      <c r="N95" s="10" t="s">
        <v>232</v>
      </c>
      <c r="O95" s="1" t="s">
        <v>222</v>
      </c>
    </row>
    <row r="96" spans="1:15" ht="15" customHeight="1" x14ac:dyDescent="0.25">
      <c r="A96" s="1" t="s">
        <v>165</v>
      </c>
      <c r="B96" s="5">
        <v>45488</v>
      </c>
      <c r="C96" s="1" t="s">
        <v>86</v>
      </c>
      <c r="D96" s="1" t="s">
        <v>73</v>
      </c>
      <c r="E96" s="1" t="s">
        <v>57</v>
      </c>
      <c r="F96" s="1" t="s">
        <v>69</v>
      </c>
      <c r="G96" s="1">
        <v>15</v>
      </c>
      <c r="H96" s="1">
        <v>152</v>
      </c>
      <c r="I96" s="1">
        <v>91</v>
      </c>
      <c r="J96" s="1">
        <v>2280</v>
      </c>
      <c r="K96" s="1">
        <v>915</v>
      </c>
      <c r="L96" s="1">
        <v>40.130000000000003</v>
      </c>
      <c r="M96" s="1">
        <v>2024</v>
      </c>
      <c r="N96" s="10" t="s">
        <v>231</v>
      </c>
      <c r="O96" s="1" t="s">
        <v>222</v>
      </c>
    </row>
    <row r="97" spans="1:15" ht="15" customHeight="1" x14ac:dyDescent="0.25">
      <c r="A97" s="1" t="s">
        <v>166</v>
      </c>
      <c r="B97" s="5">
        <v>45180</v>
      </c>
      <c r="C97" s="1" t="s">
        <v>99</v>
      </c>
      <c r="D97" s="1" t="s">
        <v>61</v>
      </c>
      <c r="E97" s="1" t="s">
        <v>78</v>
      </c>
      <c r="F97" s="1" t="s">
        <v>58</v>
      </c>
      <c r="G97" s="1">
        <v>9</v>
      </c>
      <c r="H97" s="1">
        <v>245</v>
      </c>
      <c r="I97" s="1">
        <v>147</v>
      </c>
      <c r="J97" s="1">
        <v>2205</v>
      </c>
      <c r="K97" s="1">
        <v>882</v>
      </c>
      <c r="L97" s="1">
        <v>40</v>
      </c>
      <c r="M97" s="1">
        <v>2023</v>
      </c>
      <c r="N97" s="10" t="s">
        <v>232</v>
      </c>
      <c r="O97" s="1" t="s">
        <v>222</v>
      </c>
    </row>
    <row r="98" spans="1:15" ht="15" customHeight="1" x14ac:dyDescent="0.25">
      <c r="A98" s="1" t="s">
        <v>167</v>
      </c>
      <c r="B98" s="5">
        <v>45006</v>
      </c>
      <c r="C98" s="1" t="s">
        <v>99</v>
      </c>
      <c r="D98" s="1" t="s">
        <v>61</v>
      </c>
      <c r="E98" s="1" t="s">
        <v>57</v>
      </c>
      <c r="F98" s="1" t="s">
        <v>53</v>
      </c>
      <c r="G98" s="1">
        <v>11</v>
      </c>
      <c r="H98" s="1">
        <v>183</v>
      </c>
      <c r="I98" s="1">
        <v>109</v>
      </c>
      <c r="J98" s="1">
        <v>2013</v>
      </c>
      <c r="K98" s="1">
        <v>814</v>
      </c>
      <c r="L98" s="1">
        <v>40.44</v>
      </c>
      <c r="M98" s="1">
        <v>2023</v>
      </c>
      <c r="N98" s="10" t="s">
        <v>226</v>
      </c>
      <c r="O98" s="1" t="s">
        <v>222</v>
      </c>
    </row>
    <row r="99" spans="1:15" ht="15" customHeight="1" x14ac:dyDescent="0.25">
      <c r="A99" s="1" t="s">
        <v>168</v>
      </c>
      <c r="B99" s="5">
        <v>45480</v>
      </c>
      <c r="C99" s="1" t="s">
        <v>50</v>
      </c>
      <c r="D99" s="1" t="s">
        <v>51</v>
      </c>
      <c r="E99" s="1" t="s">
        <v>57</v>
      </c>
      <c r="F99" s="1" t="s">
        <v>58</v>
      </c>
      <c r="G99" s="1">
        <v>8</v>
      </c>
      <c r="H99" s="1">
        <v>834</v>
      </c>
      <c r="I99" s="1">
        <v>500</v>
      </c>
      <c r="J99" s="1">
        <v>6672</v>
      </c>
      <c r="K99" s="1">
        <v>2672</v>
      </c>
      <c r="L99" s="1">
        <v>40.049999999999997</v>
      </c>
      <c r="M99" s="1">
        <v>2024</v>
      </c>
      <c r="N99" s="10" t="s">
        <v>231</v>
      </c>
      <c r="O99" s="1" t="s">
        <v>222</v>
      </c>
    </row>
    <row r="100" spans="1:15" ht="15" customHeight="1" x14ac:dyDescent="0.25">
      <c r="A100" s="1" t="s">
        <v>169</v>
      </c>
      <c r="B100" s="5">
        <v>45637</v>
      </c>
      <c r="C100" s="1" t="s">
        <v>80</v>
      </c>
      <c r="D100" s="1" t="s">
        <v>51</v>
      </c>
      <c r="E100" s="1" t="s">
        <v>57</v>
      </c>
      <c r="F100" s="1" t="s">
        <v>65</v>
      </c>
      <c r="G100" s="1">
        <v>14</v>
      </c>
      <c r="H100" s="1">
        <v>884</v>
      </c>
      <c r="I100" s="1">
        <v>530</v>
      </c>
      <c r="J100" s="1">
        <v>12376</v>
      </c>
      <c r="K100" s="1">
        <v>4956</v>
      </c>
      <c r="L100" s="1">
        <v>40.049999999999997</v>
      </c>
      <c r="M100" s="1">
        <v>2024</v>
      </c>
      <c r="N100" s="10" t="s">
        <v>227</v>
      </c>
      <c r="O100" s="1" t="s">
        <v>222</v>
      </c>
    </row>
    <row r="101" spans="1:15" ht="15" customHeight="1" x14ac:dyDescent="0.25">
      <c r="A101" s="1" t="s">
        <v>170</v>
      </c>
      <c r="B101" s="5">
        <v>45265</v>
      </c>
      <c r="C101" s="1" t="s">
        <v>60</v>
      </c>
      <c r="D101" s="1" t="s">
        <v>61</v>
      </c>
      <c r="E101" s="1" t="s">
        <v>78</v>
      </c>
      <c r="F101" s="1" t="s">
        <v>69</v>
      </c>
      <c r="G101" s="1">
        <v>2</v>
      </c>
      <c r="H101" s="1">
        <v>125</v>
      </c>
      <c r="I101" s="1">
        <v>75</v>
      </c>
      <c r="J101" s="1">
        <v>250</v>
      </c>
      <c r="K101" s="1">
        <v>100</v>
      </c>
      <c r="L101" s="1">
        <v>40</v>
      </c>
      <c r="M101" s="1">
        <v>2023</v>
      </c>
      <c r="N101" s="10" t="s">
        <v>227</v>
      </c>
      <c r="O101" s="1" t="s">
        <v>222</v>
      </c>
    </row>
    <row r="102" spans="1:15" ht="15" customHeight="1" x14ac:dyDescent="0.25">
      <c r="A102" s="1" t="s">
        <v>171</v>
      </c>
      <c r="B102" s="5">
        <v>45357</v>
      </c>
      <c r="C102" s="1" t="s">
        <v>72</v>
      </c>
      <c r="D102" s="1" t="s">
        <v>73</v>
      </c>
      <c r="E102" s="1" t="s">
        <v>52</v>
      </c>
      <c r="F102" s="1" t="s">
        <v>55</v>
      </c>
      <c r="G102" s="1">
        <v>13</v>
      </c>
      <c r="H102" s="1">
        <v>264</v>
      </c>
      <c r="I102" s="1">
        <v>158</v>
      </c>
      <c r="J102" s="1">
        <v>3432</v>
      </c>
      <c r="K102" s="1">
        <v>1378</v>
      </c>
      <c r="L102" s="1">
        <v>40.15</v>
      </c>
      <c r="M102" s="1">
        <v>2024</v>
      </c>
      <c r="N102" s="10" t="s">
        <v>226</v>
      </c>
      <c r="O102" s="1" t="s">
        <v>222</v>
      </c>
    </row>
    <row r="103" spans="1:15" ht="15" customHeight="1" x14ac:dyDescent="0.25">
      <c r="A103" s="1" t="s">
        <v>172</v>
      </c>
      <c r="B103" s="5">
        <v>44933</v>
      </c>
      <c r="C103" s="1" t="s">
        <v>67</v>
      </c>
      <c r="D103" s="1" t="s">
        <v>61</v>
      </c>
      <c r="E103" s="1" t="s">
        <v>64</v>
      </c>
      <c r="F103" s="1" t="s">
        <v>69</v>
      </c>
      <c r="G103" s="1">
        <v>14</v>
      </c>
      <c r="H103" s="1">
        <v>295</v>
      </c>
      <c r="I103" s="1">
        <v>177</v>
      </c>
      <c r="J103" s="1">
        <v>4130</v>
      </c>
      <c r="K103" s="1">
        <v>1652</v>
      </c>
      <c r="L103" s="1">
        <v>40</v>
      </c>
      <c r="M103" s="1">
        <v>2023</v>
      </c>
      <c r="N103" s="10" t="s">
        <v>224</v>
      </c>
      <c r="O103" s="1" t="s">
        <v>222</v>
      </c>
    </row>
    <row r="104" spans="1:15" ht="15" customHeight="1" x14ac:dyDescent="0.25">
      <c r="A104" s="1" t="s">
        <v>173</v>
      </c>
      <c r="B104" s="5">
        <v>45486</v>
      </c>
      <c r="C104" s="1" t="s">
        <v>63</v>
      </c>
      <c r="D104" s="1" t="s">
        <v>61</v>
      </c>
      <c r="E104" s="1" t="s">
        <v>57</v>
      </c>
      <c r="F104" s="1" t="s">
        <v>69</v>
      </c>
      <c r="G104" s="1">
        <v>8</v>
      </c>
      <c r="H104" s="1">
        <v>159</v>
      </c>
      <c r="I104" s="1">
        <v>95</v>
      </c>
      <c r="J104" s="1">
        <v>1272</v>
      </c>
      <c r="K104" s="1">
        <v>512</v>
      </c>
      <c r="L104" s="1">
        <v>40.25</v>
      </c>
      <c r="M104" s="1">
        <v>2024</v>
      </c>
      <c r="N104" s="10" t="s">
        <v>231</v>
      </c>
      <c r="O104" s="1" t="s">
        <v>222</v>
      </c>
    </row>
    <row r="105" spans="1:15" ht="15" customHeight="1" x14ac:dyDescent="0.25">
      <c r="A105" s="1" t="s">
        <v>174</v>
      </c>
      <c r="B105" s="5">
        <v>45373</v>
      </c>
      <c r="C105" s="1" t="s">
        <v>86</v>
      </c>
      <c r="D105" s="1" t="s">
        <v>73</v>
      </c>
      <c r="E105" s="1" t="s">
        <v>52</v>
      </c>
      <c r="F105" s="1" t="s">
        <v>69</v>
      </c>
      <c r="G105" s="1">
        <v>11</v>
      </c>
      <c r="H105" s="1">
        <v>362</v>
      </c>
      <c r="I105" s="1">
        <v>217</v>
      </c>
      <c r="J105" s="1">
        <v>3982</v>
      </c>
      <c r="K105" s="1">
        <v>1595</v>
      </c>
      <c r="L105" s="1">
        <v>40.06</v>
      </c>
      <c r="M105" s="1">
        <v>2024</v>
      </c>
      <c r="N105" s="10" t="s">
        <v>226</v>
      </c>
      <c r="O105" s="1" t="s">
        <v>222</v>
      </c>
    </row>
    <row r="106" spans="1:15" ht="15" customHeight="1" x14ac:dyDescent="0.25">
      <c r="A106" s="1" t="s">
        <v>175</v>
      </c>
      <c r="B106" s="5">
        <v>45622</v>
      </c>
      <c r="C106" s="1" t="s">
        <v>72</v>
      </c>
      <c r="D106" s="1" t="s">
        <v>73</v>
      </c>
      <c r="E106" s="1" t="s">
        <v>57</v>
      </c>
      <c r="F106" s="1" t="s">
        <v>69</v>
      </c>
      <c r="G106" s="1">
        <v>5</v>
      </c>
      <c r="H106" s="1">
        <v>338</v>
      </c>
      <c r="I106" s="1">
        <v>202</v>
      </c>
      <c r="J106" s="1">
        <v>1690</v>
      </c>
      <c r="K106" s="1">
        <v>680</v>
      </c>
      <c r="L106" s="1">
        <v>40.24</v>
      </c>
      <c r="M106" s="1">
        <v>2024</v>
      </c>
      <c r="N106" s="10" t="s">
        <v>229</v>
      </c>
      <c r="O106" s="1" t="s">
        <v>222</v>
      </c>
    </row>
    <row r="107" spans="1:15" ht="15" customHeight="1" x14ac:dyDescent="0.25">
      <c r="A107" s="1" t="s">
        <v>176</v>
      </c>
      <c r="B107" s="5">
        <v>45473</v>
      </c>
      <c r="C107" s="1" t="s">
        <v>76</v>
      </c>
      <c r="D107" s="1" t="s">
        <v>51</v>
      </c>
      <c r="E107" s="1" t="s">
        <v>78</v>
      </c>
      <c r="F107" s="1" t="s">
        <v>55</v>
      </c>
      <c r="G107" s="1">
        <v>19</v>
      </c>
      <c r="H107" s="1">
        <v>1407</v>
      </c>
      <c r="I107" s="1">
        <v>844</v>
      </c>
      <c r="J107" s="1">
        <v>26733</v>
      </c>
      <c r="K107" s="1">
        <v>10697</v>
      </c>
      <c r="L107" s="1">
        <v>40.01</v>
      </c>
      <c r="M107" s="1">
        <v>2024</v>
      </c>
      <c r="N107" s="10" t="s">
        <v>230</v>
      </c>
      <c r="O107" s="1" t="s">
        <v>222</v>
      </c>
    </row>
    <row r="108" spans="1:15" ht="15" customHeight="1" x14ac:dyDescent="0.25">
      <c r="A108" s="1" t="s">
        <v>177</v>
      </c>
      <c r="B108" s="5">
        <v>44954</v>
      </c>
      <c r="C108" s="1" t="s">
        <v>50</v>
      </c>
      <c r="D108" s="1" t="s">
        <v>51</v>
      </c>
      <c r="E108" s="1" t="s">
        <v>78</v>
      </c>
      <c r="F108" s="1" t="s">
        <v>58</v>
      </c>
      <c r="G108" s="1">
        <v>15</v>
      </c>
      <c r="H108" s="1">
        <v>422</v>
      </c>
      <c r="I108" s="1">
        <v>253</v>
      </c>
      <c r="J108" s="1">
        <v>6330</v>
      </c>
      <c r="K108" s="1">
        <v>2535</v>
      </c>
      <c r="L108" s="1">
        <v>40.049999999999997</v>
      </c>
      <c r="M108" s="1">
        <v>2023</v>
      </c>
      <c r="N108" s="10" t="s">
        <v>224</v>
      </c>
      <c r="O108" s="1" t="s">
        <v>222</v>
      </c>
    </row>
    <row r="109" spans="1:15" ht="15" customHeight="1" x14ac:dyDescent="0.25">
      <c r="A109" s="1" t="s">
        <v>178</v>
      </c>
      <c r="B109" s="5">
        <v>44978</v>
      </c>
      <c r="C109" s="1" t="s">
        <v>99</v>
      </c>
      <c r="D109" s="1" t="s">
        <v>61</v>
      </c>
      <c r="E109" s="1" t="s">
        <v>78</v>
      </c>
      <c r="F109" s="1" t="s">
        <v>53</v>
      </c>
      <c r="G109" s="1">
        <v>7</v>
      </c>
      <c r="H109" s="1">
        <v>252</v>
      </c>
      <c r="I109" s="1">
        <v>151</v>
      </c>
      <c r="J109" s="1">
        <v>1764</v>
      </c>
      <c r="K109" s="1">
        <v>707</v>
      </c>
      <c r="L109" s="1">
        <v>40.08</v>
      </c>
      <c r="M109" s="1">
        <v>2023</v>
      </c>
      <c r="N109" s="10" t="s">
        <v>233</v>
      </c>
      <c r="O109" s="1" t="s">
        <v>222</v>
      </c>
    </row>
    <row r="110" spans="1:15" ht="15" customHeight="1" x14ac:dyDescent="0.25">
      <c r="A110" s="1" t="s">
        <v>179</v>
      </c>
      <c r="B110" s="5">
        <v>45261</v>
      </c>
      <c r="C110" s="1" t="s">
        <v>67</v>
      </c>
      <c r="D110" s="1" t="s">
        <v>61</v>
      </c>
      <c r="E110" s="1" t="s">
        <v>78</v>
      </c>
      <c r="F110" s="1" t="s">
        <v>53</v>
      </c>
      <c r="G110" s="1">
        <v>14</v>
      </c>
      <c r="H110" s="1">
        <v>149</v>
      </c>
      <c r="I110" s="1">
        <v>89</v>
      </c>
      <c r="J110" s="1">
        <v>2086</v>
      </c>
      <c r="K110" s="1">
        <v>840</v>
      </c>
      <c r="L110" s="1">
        <v>40.270000000000003</v>
      </c>
      <c r="M110" s="1">
        <v>2023</v>
      </c>
      <c r="N110" s="10" t="s">
        <v>227</v>
      </c>
      <c r="O110" s="1" t="s">
        <v>222</v>
      </c>
    </row>
    <row r="111" spans="1:15" ht="15" customHeight="1" x14ac:dyDescent="0.25">
      <c r="A111" s="1" t="s">
        <v>180</v>
      </c>
      <c r="B111" s="5">
        <v>45010</v>
      </c>
      <c r="C111" s="1" t="s">
        <v>86</v>
      </c>
      <c r="D111" s="1" t="s">
        <v>73</v>
      </c>
      <c r="E111" s="1" t="s">
        <v>52</v>
      </c>
      <c r="F111" s="1" t="s">
        <v>55</v>
      </c>
      <c r="G111" s="1">
        <v>2</v>
      </c>
      <c r="H111" s="1">
        <v>199</v>
      </c>
      <c r="I111" s="1">
        <v>119</v>
      </c>
      <c r="J111" s="1">
        <v>398</v>
      </c>
      <c r="K111" s="1">
        <v>160</v>
      </c>
      <c r="L111" s="1">
        <v>40.200000000000003</v>
      </c>
      <c r="M111" s="1">
        <v>2023</v>
      </c>
      <c r="N111" s="10" t="s">
        <v>226</v>
      </c>
      <c r="O111" s="1" t="s">
        <v>222</v>
      </c>
    </row>
    <row r="112" spans="1:15" ht="15" customHeight="1" x14ac:dyDescent="0.25">
      <c r="A112" s="1" t="s">
        <v>181</v>
      </c>
      <c r="B112" s="5">
        <v>45156</v>
      </c>
      <c r="C112" s="1" t="s">
        <v>50</v>
      </c>
      <c r="D112" s="1" t="s">
        <v>51</v>
      </c>
      <c r="E112" s="1" t="s">
        <v>52</v>
      </c>
      <c r="F112" s="1" t="s">
        <v>65</v>
      </c>
      <c r="G112" s="1">
        <v>8</v>
      </c>
      <c r="H112" s="1">
        <v>458</v>
      </c>
      <c r="I112" s="1">
        <v>274</v>
      </c>
      <c r="J112" s="1">
        <v>3664</v>
      </c>
      <c r="K112" s="1">
        <v>1472</v>
      </c>
      <c r="L112" s="1">
        <v>40.17</v>
      </c>
      <c r="M112" s="1">
        <v>2023</v>
      </c>
      <c r="N112" s="10" t="s">
        <v>228</v>
      </c>
      <c r="O112" s="1" t="s">
        <v>222</v>
      </c>
    </row>
    <row r="113" spans="1:15" ht="15" customHeight="1" x14ac:dyDescent="0.25">
      <c r="A113" s="1" t="s">
        <v>182</v>
      </c>
      <c r="B113" s="5">
        <v>44947</v>
      </c>
      <c r="C113" s="1" t="s">
        <v>63</v>
      </c>
      <c r="D113" s="1" t="s">
        <v>61</v>
      </c>
      <c r="E113" s="1" t="s">
        <v>57</v>
      </c>
      <c r="F113" s="1" t="s">
        <v>58</v>
      </c>
      <c r="G113" s="1">
        <v>5</v>
      </c>
      <c r="H113" s="1">
        <v>262</v>
      </c>
      <c r="I113" s="1">
        <v>157</v>
      </c>
      <c r="J113" s="1">
        <v>1310</v>
      </c>
      <c r="K113" s="1">
        <v>525</v>
      </c>
      <c r="L113" s="1">
        <v>40.08</v>
      </c>
      <c r="M113" s="1">
        <v>2023</v>
      </c>
      <c r="N113" s="10" t="s">
        <v>224</v>
      </c>
      <c r="O113" s="1" t="s">
        <v>222</v>
      </c>
    </row>
    <row r="114" spans="1:15" ht="15" customHeight="1" x14ac:dyDescent="0.25">
      <c r="A114" s="1" t="s">
        <v>183</v>
      </c>
      <c r="B114" s="5">
        <v>45612</v>
      </c>
      <c r="C114" s="1" t="s">
        <v>50</v>
      </c>
      <c r="D114" s="1" t="s">
        <v>51</v>
      </c>
      <c r="E114" s="1" t="s">
        <v>57</v>
      </c>
      <c r="F114" s="1" t="s">
        <v>69</v>
      </c>
      <c r="G114" s="1">
        <v>9</v>
      </c>
      <c r="H114" s="1">
        <v>1620</v>
      </c>
      <c r="I114" s="1">
        <v>972</v>
      </c>
      <c r="J114" s="1">
        <v>14580</v>
      </c>
      <c r="K114" s="1">
        <v>5832</v>
      </c>
      <c r="L114" s="1">
        <v>40</v>
      </c>
      <c r="M114" s="1">
        <v>2024</v>
      </c>
      <c r="N114" s="10" t="s">
        <v>229</v>
      </c>
      <c r="O114" s="1" t="s">
        <v>222</v>
      </c>
    </row>
    <row r="115" spans="1:15" ht="15" customHeight="1" x14ac:dyDescent="0.25">
      <c r="A115" s="1" t="s">
        <v>184</v>
      </c>
      <c r="B115" s="5">
        <v>45304</v>
      </c>
      <c r="C115" s="1" t="s">
        <v>80</v>
      </c>
      <c r="D115" s="1" t="s">
        <v>51</v>
      </c>
      <c r="E115" s="1" t="s">
        <v>52</v>
      </c>
      <c r="F115" s="1" t="s">
        <v>58</v>
      </c>
      <c r="G115" s="1">
        <v>10</v>
      </c>
      <c r="H115" s="1">
        <v>271</v>
      </c>
      <c r="I115" s="1">
        <v>162</v>
      </c>
      <c r="J115" s="1">
        <v>2710</v>
      </c>
      <c r="K115" s="1">
        <v>1090</v>
      </c>
      <c r="L115" s="1">
        <v>40.22</v>
      </c>
      <c r="M115" s="1">
        <v>2024</v>
      </c>
      <c r="N115" s="10" t="s">
        <v>224</v>
      </c>
      <c r="O115" s="1" t="s">
        <v>222</v>
      </c>
    </row>
    <row r="116" spans="1:15" ht="15" customHeight="1" x14ac:dyDescent="0.25">
      <c r="A116" s="1" t="s">
        <v>185</v>
      </c>
      <c r="B116" s="5">
        <v>45519</v>
      </c>
      <c r="C116" s="1" t="s">
        <v>76</v>
      </c>
      <c r="D116" s="1" t="s">
        <v>51</v>
      </c>
      <c r="E116" s="1" t="s">
        <v>64</v>
      </c>
      <c r="F116" s="1" t="s">
        <v>55</v>
      </c>
      <c r="G116" s="1">
        <v>13</v>
      </c>
      <c r="H116" s="1">
        <v>862</v>
      </c>
      <c r="I116" s="1">
        <v>517</v>
      </c>
      <c r="J116" s="1">
        <v>11206</v>
      </c>
      <c r="K116" s="1">
        <v>4485</v>
      </c>
      <c r="L116" s="1">
        <v>40.020000000000003</v>
      </c>
      <c r="M116" s="1">
        <v>2024</v>
      </c>
      <c r="N116" s="10" t="s">
        <v>228</v>
      </c>
      <c r="O116" s="1" t="s">
        <v>222</v>
      </c>
    </row>
    <row r="117" spans="1:15" ht="15" customHeight="1" x14ac:dyDescent="0.25">
      <c r="A117" s="1" t="s">
        <v>186</v>
      </c>
      <c r="B117" s="5">
        <v>45130</v>
      </c>
      <c r="C117" s="1" t="s">
        <v>50</v>
      </c>
      <c r="D117" s="1" t="s">
        <v>51</v>
      </c>
      <c r="E117" s="1" t="s">
        <v>57</v>
      </c>
      <c r="F117" s="1" t="s">
        <v>65</v>
      </c>
      <c r="G117" s="1">
        <v>10</v>
      </c>
      <c r="H117" s="1">
        <v>1791</v>
      </c>
      <c r="I117" s="1">
        <v>1074</v>
      </c>
      <c r="J117" s="1">
        <v>17910</v>
      </c>
      <c r="K117" s="1">
        <v>7170</v>
      </c>
      <c r="L117" s="1">
        <v>40.03</v>
      </c>
      <c r="M117" s="1">
        <v>2023</v>
      </c>
      <c r="N117" s="10" t="s">
        <v>231</v>
      </c>
      <c r="O117" s="1" t="s">
        <v>222</v>
      </c>
    </row>
    <row r="118" spans="1:15" ht="15" customHeight="1" x14ac:dyDescent="0.25">
      <c r="A118" s="1" t="s">
        <v>187</v>
      </c>
      <c r="B118" s="5">
        <v>45627</v>
      </c>
      <c r="C118" s="1" t="s">
        <v>63</v>
      </c>
      <c r="D118" s="1" t="s">
        <v>61</v>
      </c>
      <c r="E118" s="1" t="s">
        <v>52</v>
      </c>
      <c r="F118" s="1" t="s">
        <v>55</v>
      </c>
      <c r="G118" s="1">
        <v>2</v>
      </c>
      <c r="H118" s="1">
        <v>197</v>
      </c>
      <c r="I118" s="1">
        <v>118</v>
      </c>
      <c r="J118" s="1">
        <v>394</v>
      </c>
      <c r="K118" s="1">
        <v>158</v>
      </c>
      <c r="L118" s="1">
        <v>40.1</v>
      </c>
      <c r="M118" s="1">
        <v>2024</v>
      </c>
      <c r="N118" s="10" t="s">
        <v>227</v>
      </c>
      <c r="O118" s="1" t="s">
        <v>222</v>
      </c>
    </row>
    <row r="119" spans="1:15" ht="15" customHeight="1" x14ac:dyDescent="0.25">
      <c r="A119" s="1" t="s">
        <v>188</v>
      </c>
      <c r="B119" s="5">
        <v>45472</v>
      </c>
      <c r="C119" s="1" t="s">
        <v>72</v>
      </c>
      <c r="D119" s="1" t="s">
        <v>73</v>
      </c>
      <c r="E119" s="1" t="s">
        <v>64</v>
      </c>
      <c r="F119" s="1" t="s">
        <v>65</v>
      </c>
      <c r="G119" s="1">
        <v>17</v>
      </c>
      <c r="H119" s="1">
        <v>351</v>
      </c>
      <c r="I119" s="1">
        <v>210</v>
      </c>
      <c r="J119" s="1">
        <v>5967</v>
      </c>
      <c r="K119" s="1">
        <v>2397</v>
      </c>
      <c r="L119" s="1">
        <v>40.17</v>
      </c>
      <c r="M119" s="1">
        <v>2024</v>
      </c>
      <c r="N119" s="10" t="s">
        <v>230</v>
      </c>
      <c r="O119" s="1" t="s">
        <v>222</v>
      </c>
    </row>
    <row r="120" spans="1:15" ht="15" customHeight="1" x14ac:dyDescent="0.25">
      <c r="A120" s="1" t="s">
        <v>189</v>
      </c>
      <c r="B120" s="5">
        <v>45276</v>
      </c>
      <c r="C120" s="1" t="s">
        <v>76</v>
      </c>
      <c r="D120" s="1" t="s">
        <v>51</v>
      </c>
      <c r="E120" s="1" t="s">
        <v>78</v>
      </c>
      <c r="F120" s="1" t="s">
        <v>69</v>
      </c>
      <c r="G120" s="1">
        <v>4</v>
      </c>
      <c r="H120" s="1">
        <v>937</v>
      </c>
      <c r="I120" s="1">
        <v>562</v>
      </c>
      <c r="J120" s="1">
        <v>3748</v>
      </c>
      <c r="K120" s="1">
        <v>1500</v>
      </c>
      <c r="L120" s="1">
        <v>40.020000000000003</v>
      </c>
      <c r="M120" s="1">
        <v>2023</v>
      </c>
      <c r="N120" s="10" t="s">
        <v>227</v>
      </c>
      <c r="O120" s="1" t="s">
        <v>222</v>
      </c>
    </row>
    <row r="121" spans="1:15" ht="15" customHeight="1" x14ac:dyDescent="0.25">
      <c r="A121" s="1" t="s">
        <v>190</v>
      </c>
      <c r="B121" s="5">
        <v>45297</v>
      </c>
      <c r="C121" s="1" t="s">
        <v>86</v>
      </c>
      <c r="D121" s="1" t="s">
        <v>73</v>
      </c>
      <c r="E121" s="1" t="s">
        <v>57</v>
      </c>
      <c r="F121" s="1" t="s">
        <v>69</v>
      </c>
      <c r="G121" s="1">
        <v>6</v>
      </c>
      <c r="H121" s="1">
        <v>395</v>
      </c>
      <c r="I121" s="1">
        <v>237</v>
      </c>
      <c r="J121" s="1">
        <v>2370</v>
      </c>
      <c r="K121" s="1">
        <v>948</v>
      </c>
      <c r="L121" s="1">
        <v>40</v>
      </c>
      <c r="M121" s="1">
        <v>2024</v>
      </c>
      <c r="N121" s="10" t="s">
        <v>224</v>
      </c>
      <c r="O121" s="1" t="s">
        <v>222</v>
      </c>
    </row>
    <row r="122" spans="1:15" ht="15" customHeight="1" x14ac:dyDescent="0.25">
      <c r="A122" s="1" t="s">
        <v>191</v>
      </c>
      <c r="B122" s="5">
        <v>45461</v>
      </c>
      <c r="C122" s="1" t="s">
        <v>99</v>
      </c>
      <c r="D122" s="1" t="s">
        <v>61</v>
      </c>
      <c r="E122" s="1" t="s">
        <v>78</v>
      </c>
      <c r="F122" s="1" t="s">
        <v>69</v>
      </c>
      <c r="G122" s="1">
        <v>14</v>
      </c>
      <c r="H122" s="1">
        <v>442</v>
      </c>
      <c r="I122" s="1">
        <v>265</v>
      </c>
      <c r="J122" s="1">
        <v>6188</v>
      </c>
      <c r="K122" s="1">
        <v>2478</v>
      </c>
      <c r="L122" s="1">
        <v>40.049999999999997</v>
      </c>
      <c r="M122" s="1">
        <v>2024</v>
      </c>
      <c r="N122" s="10" t="s">
        <v>230</v>
      </c>
      <c r="O122" s="1" t="s">
        <v>222</v>
      </c>
    </row>
    <row r="123" spans="1:15" ht="15" customHeight="1" x14ac:dyDescent="0.25">
      <c r="A123" s="1" t="s">
        <v>192</v>
      </c>
      <c r="B123" s="5">
        <v>45533</v>
      </c>
      <c r="C123" s="1" t="s">
        <v>99</v>
      </c>
      <c r="D123" s="1" t="s">
        <v>61</v>
      </c>
      <c r="E123" s="1" t="s">
        <v>64</v>
      </c>
      <c r="F123" s="1" t="s">
        <v>58</v>
      </c>
      <c r="G123" s="1">
        <v>3</v>
      </c>
      <c r="H123" s="1">
        <v>162</v>
      </c>
      <c r="I123" s="1">
        <v>97</v>
      </c>
      <c r="J123" s="1">
        <v>486</v>
      </c>
      <c r="K123" s="1">
        <v>195</v>
      </c>
      <c r="L123" s="1">
        <v>40.119999999999997</v>
      </c>
      <c r="M123" s="1">
        <v>2024</v>
      </c>
      <c r="N123" s="10" t="s">
        <v>228</v>
      </c>
      <c r="O123" s="1" t="s">
        <v>222</v>
      </c>
    </row>
    <row r="124" spans="1:15" ht="15" customHeight="1" x14ac:dyDescent="0.25">
      <c r="A124" s="1" t="s">
        <v>193</v>
      </c>
      <c r="B124" s="5">
        <v>45388</v>
      </c>
      <c r="C124" s="1" t="s">
        <v>88</v>
      </c>
      <c r="D124" s="1" t="s">
        <v>61</v>
      </c>
      <c r="E124" s="1" t="s">
        <v>78</v>
      </c>
      <c r="F124" s="1" t="s">
        <v>55</v>
      </c>
      <c r="G124" s="1">
        <v>20</v>
      </c>
      <c r="H124" s="1">
        <v>362</v>
      </c>
      <c r="I124" s="1">
        <v>217</v>
      </c>
      <c r="J124" s="1">
        <v>7240</v>
      </c>
      <c r="K124" s="1">
        <v>2900</v>
      </c>
      <c r="L124" s="1">
        <v>40.06</v>
      </c>
      <c r="M124" s="1">
        <v>2024</v>
      </c>
      <c r="N124" s="10" t="s">
        <v>225</v>
      </c>
      <c r="O124" s="1" t="s">
        <v>222</v>
      </c>
    </row>
    <row r="125" spans="1:15" ht="15" customHeight="1" x14ac:dyDescent="0.25">
      <c r="A125" s="1" t="s">
        <v>194</v>
      </c>
      <c r="B125" s="5">
        <v>45315</v>
      </c>
      <c r="C125" s="1" t="s">
        <v>67</v>
      </c>
      <c r="D125" s="1" t="s">
        <v>61</v>
      </c>
      <c r="E125" s="1" t="s">
        <v>52</v>
      </c>
      <c r="F125" s="1" t="s">
        <v>69</v>
      </c>
      <c r="G125" s="1">
        <v>11</v>
      </c>
      <c r="H125" s="1">
        <v>113</v>
      </c>
      <c r="I125" s="1">
        <v>67</v>
      </c>
      <c r="J125" s="1">
        <v>1243</v>
      </c>
      <c r="K125" s="1">
        <v>506</v>
      </c>
      <c r="L125" s="1">
        <v>40.71</v>
      </c>
      <c r="M125" s="1">
        <v>2024</v>
      </c>
      <c r="N125" s="10" t="s">
        <v>224</v>
      </c>
      <c r="O125" s="1" t="s">
        <v>222</v>
      </c>
    </row>
    <row r="126" spans="1:15" ht="15" customHeight="1" x14ac:dyDescent="0.25">
      <c r="A126" s="1" t="s">
        <v>195</v>
      </c>
      <c r="B126" s="5">
        <v>45426</v>
      </c>
      <c r="C126" s="1" t="s">
        <v>88</v>
      </c>
      <c r="D126" s="1" t="s">
        <v>61</v>
      </c>
      <c r="E126" s="1" t="s">
        <v>64</v>
      </c>
      <c r="F126" s="1" t="s">
        <v>53</v>
      </c>
      <c r="G126" s="1">
        <v>11</v>
      </c>
      <c r="H126" s="1">
        <v>163</v>
      </c>
      <c r="I126" s="1">
        <v>97</v>
      </c>
      <c r="J126" s="1">
        <v>1793</v>
      </c>
      <c r="K126" s="1">
        <v>726</v>
      </c>
      <c r="L126" s="1">
        <v>40.49</v>
      </c>
      <c r="M126" s="1">
        <v>2024</v>
      </c>
      <c r="N126" s="10" t="s">
        <v>223</v>
      </c>
      <c r="O126" s="1" t="s">
        <v>222</v>
      </c>
    </row>
    <row r="127" spans="1:15" ht="15" customHeight="1" x14ac:dyDescent="0.25">
      <c r="A127" s="1" t="s">
        <v>196</v>
      </c>
      <c r="B127" s="5">
        <v>45537</v>
      </c>
      <c r="C127" s="1" t="s">
        <v>99</v>
      </c>
      <c r="D127" s="1" t="s">
        <v>61</v>
      </c>
      <c r="E127" s="1" t="s">
        <v>52</v>
      </c>
      <c r="F127" s="1" t="s">
        <v>55</v>
      </c>
      <c r="G127" s="1">
        <v>7</v>
      </c>
      <c r="H127" s="1">
        <v>63</v>
      </c>
      <c r="I127" s="1">
        <v>37</v>
      </c>
      <c r="J127" s="1">
        <v>441</v>
      </c>
      <c r="K127" s="1">
        <v>182</v>
      </c>
      <c r="L127" s="1">
        <v>41.27</v>
      </c>
      <c r="M127" s="1">
        <v>2024</v>
      </c>
      <c r="N127" s="10" t="s">
        <v>232</v>
      </c>
      <c r="O127" s="1" t="s">
        <v>222</v>
      </c>
    </row>
    <row r="128" spans="1:15" ht="15" customHeight="1" x14ac:dyDescent="0.25">
      <c r="A128" s="1" t="s">
        <v>197</v>
      </c>
      <c r="B128" s="5">
        <v>45174</v>
      </c>
      <c r="C128" s="1" t="s">
        <v>72</v>
      </c>
      <c r="D128" s="1" t="s">
        <v>73</v>
      </c>
      <c r="E128" s="1" t="s">
        <v>78</v>
      </c>
      <c r="F128" s="1" t="s">
        <v>55</v>
      </c>
      <c r="G128" s="1">
        <v>8</v>
      </c>
      <c r="H128" s="1">
        <v>373</v>
      </c>
      <c r="I128" s="1">
        <v>223</v>
      </c>
      <c r="J128" s="1">
        <v>2984</v>
      </c>
      <c r="K128" s="1">
        <v>1200</v>
      </c>
      <c r="L128" s="1">
        <v>40.21</v>
      </c>
      <c r="M128" s="1">
        <v>2023</v>
      </c>
      <c r="N128" s="10" t="s">
        <v>232</v>
      </c>
      <c r="O128" s="1" t="s">
        <v>222</v>
      </c>
    </row>
    <row r="129" spans="1:15" ht="15" customHeight="1" x14ac:dyDescent="0.25">
      <c r="A129" s="1" t="s">
        <v>198</v>
      </c>
      <c r="B129" s="5">
        <v>45414</v>
      </c>
      <c r="C129" s="1" t="s">
        <v>86</v>
      </c>
      <c r="D129" s="1" t="s">
        <v>73</v>
      </c>
      <c r="E129" s="1" t="s">
        <v>78</v>
      </c>
      <c r="F129" s="1" t="s">
        <v>65</v>
      </c>
      <c r="G129" s="1">
        <v>3</v>
      </c>
      <c r="H129" s="1">
        <v>170</v>
      </c>
      <c r="I129" s="1">
        <v>102</v>
      </c>
      <c r="J129" s="1">
        <v>510</v>
      </c>
      <c r="K129" s="1">
        <v>204</v>
      </c>
      <c r="L129" s="1">
        <v>40</v>
      </c>
      <c r="M129" s="1">
        <v>2024</v>
      </c>
      <c r="N129" s="10" t="s">
        <v>223</v>
      </c>
      <c r="O129" s="1" t="s">
        <v>222</v>
      </c>
    </row>
    <row r="130" spans="1:15" ht="15" customHeight="1" x14ac:dyDescent="0.25">
      <c r="A130" s="1" t="s">
        <v>199</v>
      </c>
      <c r="B130" s="5">
        <v>45153</v>
      </c>
      <c r="C130" s="1" t="s">
        <v>72</v>
      </c>
      <c r="D130" s="1" t="s">
        <v>73</v>
      </c>
      <c r="E130" s="1" t="s">
        <v>57</v>
      </c>
      <c r="F130" s="1" t="s">
        <v>53</v>
      </c>
      <c r="G130" s="1">
        <v>19</v>
      </c>
      <c r="H130" s="1">
        <v>208</v>
      </c>
      <c r="I130" s="1">
        <v>124</v>
      </c>
      <c r="J130" s="1">
        <v>3952</v>
      </c>
      <c r="K130" s="1">
        <v>1596</v>
      </c>
      <c r="L130" s="1">
        <v>40.380000000000003</v>
      </c>
      <c r="M130" s="1">
        <v>2023</v>
      </c>
      <c r="N130" s="10" t="s">
        <v>228</v>
      </c>
      <c r="O130" s="1" t="s">
        <v>222</v>
      </c>
    </row>
    <row r="131" spans="1:15" ht="15" customHeight="1" x14ac:dyDescent="0.25">
      <c r="A131" s="1" t="s">
        <v>200</v>
      </c>
      <c r="B131" s="5">
        <v>45411</v>
      </c>
      <c r="C131" s="1" t="s">
        <v>60</v>
      </c>
      <c r="D131" s="1" t="s">
        <v>61</v>
      </c>
      <c r="E131" s="1" t="s">
        <v>64</v>
      </c>
      <c r="F131" s="1" t="s">
        <v>69</v>
      </c>
      <c r="G131" s="1">
        <v>18</v>
      </c>
      <c r="H131" s="1">
        <v>189</v>
      </c>
      <c r="I131" s="1">
        <v>113</v>
      </c>
      <c r="J131" s="1">
        <v>3402</v>
      </c>
      <c r="K131" s="1">
        <v>1368</v>
      </c>
      <c r="L131" s="1">
        <v>40.21</v>
      </c>
      <c r="M131" s="1">
        <v>2024</v>
      </c>
      <c r="N131" s="10" t="s">
        <v>225</v>
      </c>
      <c r="O131" s="1" t="s">
        <v>222</v>
      </c>
    </row>
    <row r="132" spans="1:15" ht="15" customHeight="1" x14ac:dyDescent="0.25">
      <c r="A132" s="1" t="s">
        <v>201</v>
      </c>
      <c r="B132" s="5">
        <v>45287</v>
      </c>
      <c r="C132" s="1" t="s">
        <v>86</v>
      </c>
      <c r="D132" s="1" t="s">
        <v>73</v>
      </c>
      <c r="E132" s="1" t="s">
        <v>64</v>
      </c>
      <c r="F132" s="1" t="s">
        <v>53</v>
      </c>
      <c r="G132" s="1">
        <v>9</v>
      </c>
      <c r="H132" s="1">
        <v>138</v>
      </c>
      <c r="I132" s="1">
        <v>82</v>
      </c>
      <c r="J132" s="1">
        <v>1242</v>
      </c>
      <c r="K132" s="1">
        <v>504</v>
      </c>
      <c r="L132" s="1">
        <v>40.58</v>
      </c>
      <c r="M132" s="1">
        <v>2023</v>
      </c>
      <c r="N132" s="10" t="s">
        <v>227</v>
      </c>
      <c r="O132" s="1" t="s">
        <v>222</v>
      </c>
    </row>
    <row r="133" spans="1:15" ht="15" customHeight="1" x14ac:dyDescent="0.25">
      <c r="A133" s="1" t="s">
        <v>202</v>
      </c>
      <c r="B133" s="5">
        <v>45050</v>
      </c>
      <c r="C133" s="1" t="s">
        <v>88</v>
      </c>
      <c r="D133" s="1" t="s">
        <v>61</v>
      </c>
      <c r="E133" s="1" t="s">
        <v>64</v>
      </c>
      <c r="F133" s="1" t="s">
        <v>65</v>
      </c>
      <c r="G133" s="1">
        <v>18</v>
      </c>
      <c r="H133" s="1">
        <v>410</v>
      </c>
      <c r="I133" s="1">
        <v>246</v>
      </c>
      <c r="J133" s="1">
        <v>7380</v>
      </c>
      <c r="K133" s="1">
        <v>2952</v>
      </c>
      <c r="L133" s="1">
        <v>40</v>
      </c>
      <c r="M133" s="1">
        <v>2023</v>
      </c>
      <c r="N133" s="10" t="s">
        <v>223</v>
      </c>
      <c r="O133" s="1" t="s">
        <v>222</v>
      </c>
    </row>
    <row r="134" spans="1:15" ht="15" customHeight="1" x14ac:dyDescent="0.25">
      <c r="A134" s="1" t="s">
        <v>203</v>
      </c>
      <c r="B134" s="5">
        <v>45633</v>
      </c>
      <c r="C134" s="1" t="s">
        <v>80</v>
      </c>
      <c r="D134" s="1" t="s">
        <v>51</v>
      </c>
      <c r="E134" s="1" t="s">
        <v>57</v>
      </c>
      <c r="F134" s="1" t="s">
        <v>58</v>
      </c>
      <c r="G134" s="1">
        <v>16</v>
      </c>
      <c r="H134" s="1">
        <v>616</v>
      </c>
      <c r="I134" s="1">
        <v>369</v>
      </c>
      <c r="J134" s="1">
        <v>9856</v>
      </c>
      <c r="K134" s="1">
        <v>3952</v>
      </c>
      <c r="L134" s="1">
        <v>40.1</v>
      </c>
      <c r="M134" s="1">
        <v>2024</v>
      </c>
      <c r="N134" s="10" t="s">
        <v>227</v>
      </c>
      <c r="O134" s="1" t="s">
        <v>222</v>
      </c>
    </row>
    <row r="135" spans="1:15" ht="15" customHeight="1" x14ac:dyDescent="0.25">
      <c r="A135" s="1" t="s">
        <v>204</v>
      </c>
      <c r="B135" s="5">
        <v>45530</v>
      </c>
      <c r="C135" s="1" t="s">
        <v>60</v>
      </c>
      <c r="D135" s="1" t="s">
        <v>61</v>
      </c>
      <c r="E135" s="1" t="s">
        <v>64</v>
      </c>
      <c r="F135" s="1" t="s">
        <v>65</v>
      </c>
      <c r="G135" s="1">
        <v>7</v>
      </c>
      <c r="H135" s="1">
        <v>171</v>
      </c>
      <c r="I135" s="1">
        <v>102</v>
      </c>
      <c r="J135" s="1">
        <v>1197</v>
      </c>
      <c r="K135" s="1">
        <v>483</v>
      </c>
      <c r="L135" s="1">
        <v>40.35</v>
      </c>
      <c r="M135" s="1">
        <v>2024</v>
      </c>
      <c r="N135" s="10" t="s">
        <v>228</v>
      </c>
      <c r="O135" s="1" t="s">
        <v>222</v>
      </c>
    </row>
    <row r="136" spans="1:15" ht="15" customHeight="1" x14ac:dyDescent="0.25">
      <c r="A136" s="1" t="s">
        <v>205</v>
      </c>
      <c r="B136" s="5">
        <v>45159</v>
      </c>
      <c r="C136" s="1" t="s">
        <v>67</v>
      </c>
      <c r="D136" s="1" t="s">
        <v>61</v>
      </c>
      <c r="E136" s="1" t="s">
        <v>57</v>
      </c>
      <c r="F136" s="1" t="s">
        <v>53</v>
      </c>
      <c r="G136" s="1">
        <v>1</v>
      </c>
      <c r="H136" s="1">
        <v>382</v>
      </c>
      <c r="I136" s="1">
        <v>229</v>
      </c>
      <c r="J136" s="1">
        <v>382</v>
      </c>
      <c r="K136" s="1">
        <v>153</v>
      </c>
      <c r="L136" s="1">
        <v>40.049999999999997</v>
      </c>
      <c r="M136" s="1">
        <v>2023</v>
      </c>
      <c r="N136" s="10" t="s">
        <v>228</v>
      </c>
      <c r="O136" s="1" t="s">
        <v>222</v>
      </c>
    </row>
    <row r="137" spans="1:15" ht="15" customHeight="1" x14ac:dyDescent="0.25">
      <c r="A137" s="1" t="s">
        <v>206</v>
      </c>
      <c r="B137" s="5">
        <v>45473</v>
      </c>
      <c r="C137" s="1" t="s">
        <v>80</v>
      </c>
      <c r="D137" s="1" t="s">
        <v>51</v>
      </c>
      <c r="E137" s="1" t="s">
        <v>64</v>
      </c>
      <c r="F137" s="1" t="s">
        <v>65</v>
      </c>
      <c r="G137" s="1">
        <v>2</v>
      </c>
      <c r="H137" s="1">
        <v>1183</v>
      </c>
      <c r="I137" s="1">
        <v>709</v>
      </c>
      <c r="J137" s="1">
        <v>2366</v>
      </c>
      <c r="K137" s="1">
        <v>948</v>
      </c>
      <c r="L137" s="1">
        <v>40.07</v>
      </c>
      <c r="M137" s="1">
        <v>2024</v>
      </c>
      <c r="N137" s="10" t="s">
        <v>230</v>
      </c>
      <c r="O137" s="1" t="s">
        <v>222</v>
      </c>
    </row>
    <row r="138" spans="1:15" ht="15" customHeight="1" x14ac:dyDescent="0.25">
      <c r="A138" s="1" t="s">
        <v>207</v>
      </c>
      <c r="B138" s="5">
        <v>45226</v>
      </c>
      <c r="C138" s="1" t="s">
        <v>80</v>
      </c>
      <c r="D138" s="1" t="s">
        <v>51</v>
      </c>
      <c r="E138" s="1" t="s">
        <v>78</v>
      </c>
      <c r="F138" s="1" t="s">
        <v>65</v>
      </c>
      <c r="G138" s="1">
        <v>1</v>
      </c>
      <c r="H138" s="1">
        <v>1225</v>
      </c>
      <c r="I138" s="1">
        <v>735</v>
      </c>
      <c r="J138" s="1">
        <v>1225</v>
      </c>
      <c r="K138" s="1">
        <v>490</v>
      </c>
      <c r="L138" s="1">
        <v>40</v>
      </c>
      <c r="M138" s="1">
        <v>2023</v>
      </c>
      <c r="N138" s="10" t="s">
        <v>221</v>
      </c>
      <c r="O138" s="1" t="s">
        <v>222</v>
      </c>
    </row>
    <row r="139" spans="1:15" ht="15" customHeight="1" x14ac:dyDescent="0.25">
      <c r="A139" s="1" t="s">
        <v>208</v>
      </c>
      <c r="B139" s="5">
        <v>45218</v>
      </c>
      <c r="C139" s="1" t="s">
        <v>86</v>
      </c>
      <c r="D139" s="1" t="s">
        <v>73</v>
      </c>
      <c r="E139" s="1" t="s">
        <v>78</v>
      </c>
      <c r="F139" s="1" t="s">
        <v>69</v>
      </c>
      <c r="G139" s="1">
        <v>11</v>
      </c>
      <c r="H139" s="1">
        <v>114</v>
      </c>
      <c r="I139" s="1">
        <v>68</v>
      </c>
      <c r="J139" s="1">
        <v>1254</v>
      </c>
      <c r="K139" s="1">
        <v>506</v>
      </c>
      <c r="L139" s="1">
        <v>40.35</v>
      </c>
      <c r="M139" s="1">
        <v>2023</v>
      </c>
      <c r="N139" s="10" t="s">
        <v>221</v>
      </c>
      <c r="O139" s="1" t="s">
        <v>222</v>
      </c>
    </row>
    <row r="140" spans="1:15" ht="15" customHeight="1" x14ac:dyDescent="0.25">
      <c r="A140" s="1" t="s">
        <v>209</v>
      </c>
      <c r="B140" s="5">
        <v>44979</v>
      </c>
      <c r="C140" s="1" t="s">
        <v>99</v>
      </c>
      <c r="D140" s="1" t="s">
        <v>61</v>
      </c>
      <c r="E140" s="1" t="s">
        <v>78</v>
      </c>
      <c r="F140" s="1" t="s">
        <v>65</v>
      </c>
      <c r="G140" s="1">
        <v>3</v>
      </c>
      <c r="H140" s="1">
        <v>225</v>
      </c>
      <c r="I140" s="1">
        <v>135</v>
      </c>
      <c r="J140" s="1">
        <v>675</v>
      </c>
      <c r="K140" s="1">
        <v>270</v>
      </c>
      <c r="L140" s="1">
        <v>40</v>
      </c>
      <c r="M140" s="1">
        <v>2023</v>
      </c>
      <c r="N140" s="10" t="s">
        <v>233</v>
      </c>
      <c r="O140" s="1" t="s">
        <v>222</v>
      </c>
    </row>
    <row r="141" spans="1:15" ht="15" customHeight="1" x14ac:dyDescent="0.25">
      <c r="A141" s="1" t="s">
        <v>210</v>
      </c>
      <c r="B141" s="5">
        <v>45430</v>
      </c>
      <c r="C141" s="1" t="s">
        <v>50</v>
      </c>
      <c r="D141" s="1" t="s">
        <v>51</v>
      </c>
      <c r="E141" s="1" t="s">
        <v>52</v>
      </c>
      <c r="F141" s="1" t="s">
        <v>58</v>
      </c>
      <c r="G141" s="1">
        <v>5</v>
      </c>
      <c r="H141" s="1">
        <v>1711</v>
      </c>
      <c r="I141" s="1">
        <v>1026</v>
      </c>
      <c r="J141" s="1">
        <v>8555</v>
      </c>
      <c r="K141" s="1">
        <v>3425</v>
      </c>
      <c r="L141" s="1">
        <v>40.04</v>
      </c>
      <c r="M141" s="1">
        <v>2024</v>
      </c>
      <c r="N141" s="10" t="s">
        <v>223</v>
      </c>
      <c r="O141" s="1" t="s">
        <v>222</v>
      </c>
    </row>
    <row r="142" spans="1:15" ht="15" customHeight="1" x14ac:dyDescent="0.25">
      <c r="A142" s="1" t="s">
        <v>211</v>
      </c>
      <c r="B142" s="5">
        <v>45503</v>
      </c>
      <c r="C142" s="1" t="s">
        <v>99</v>
      </c>
      <c r="D142" s="1" t="s">
        <v>61</v>
      </c>
      <c r="E142" s="1" t="s">
        <v>52</v>
      </c>
      <c r="F142" s="1" t="s">
        <v>58</v>
      </c>
      <c r="G142" s="1">
        <v>4</v>
      </c>
      <c r="H142" s="1">
        <v>305</v>
      </c>
      <c r="I142" s="1">
        <v>183</v>
      </c>
      <c r="J142" s="1">
        <v>1220</v>
      </c>
      <c r="K142" s="1">
        <v>488</v>
      </c>
      <c r="L142" s="1">
        <v>40</v>
      </c>
      <c r="M142" s="1">
        <v>2024</v>
      </c>
      <c r="N142" s="10" t="s">
        <v>231</v>
      </c>
      <c r="O142" s="1" t="s">
        <v>222</v>
      </c>
    </row>
    <row r="143" spans="1:15" ht="15" customHeight="1" x14ac:dyDescent="0.25">
      <c r="A143" s="1" t="s">
        <v>212</v>
      </c>
      <c r="B143" s="5">
        <v>45353</v>
      </c>
      <c r="C143" s="1" t="s">
        <v>63</v>
      </c>
      <c r="D143" s="1" t="s">
        <v>61</v>
      </c>
      <c r="E143" s="1" t="s">
        <v>57</v>
      </c>
      <c r="F143" s="1" t="s">
        <v>55</v>
      </c>
      <c r="G143" s="1">
        <v>13</v>
      </c>
      <c r="H143" s="1">
        <v>250</v>
      </c>
      <c r="I143" s="1">
        <v>150</v>
      </c>
      <c r="J143" s="1">
        <v>3250</v>
      </c>
      <c r="K143" s="1">
        <v>1300</v>
      </c>
      <c r="L143" s="1">
        <v>40</v>
      </c>
      <c r="M143" s="1">
        <v>2024</v>
      </c>
      <c r="N143" s="10" t="s">
        <v>226</v>
      </c>
      <c r="O143" s="1" t="s">
        <v>222</v>
      </c>
    </row>
    <row r="144" spans="1:15" ht="15" customHeight="1" x14ac:dyDescent="0.25">
      <c r="A144" s="1" t="s">
        <v>213</v>
      </c>
      <c r="B144" s="5">
        <v>45380</v>
      </c>
      <c r="C144" s="1" t="s">
        <v>99</v>
      </c>
      <c r="D144" s="1" t="s">
        <v>61</v>
      </c>
      <c r="E144" s="1" t="s">
        <v>78</v>
      </c>
      <c r="F144" s="1" t="s">
        <v>53</v>
      </c>
      <c r="G144" s="1">
        <v>19</v>
      </c>
      <c r="H144" s="1">
        <v>337</v>
      </c>
      <c r="I144" s="1">
        <v>202</v>
      </c>
      <c r="J144" s="1">
        <v>6403</v>
      </c>
      <c r="K144" s="1">
        <v>2565</v>
      </c>
      <c r="L144" s="1">
        <v>40.06</v>
      </c>
      <c r="M144" s="1">
        <v>2024</v>
      </c>
      <c r="N144" s="10" t="s">
        <v>226</v>
      </c>
      <c r="O144" s="1" t="s">
        <v>222</v>
      </c>
    </row>
    <row r="145" spans="1:15" ht="15" customHeight="1" x14ac:dyDescent="0.25">
      <c r="A145" s="1" t="s">
        <v>214</v>
      </c>
      <c r="B145" s="5">
        <v>44988</v>
      </c>
      <c r="C145" s="1" t="s">
        <v>63</v>
      </c>
      <c r="D145" s="1" t="s">
        <v>61</v>
      </c>
      <c r="E145" s="1" t="s">
        <v>52</v>
      </c>
      <c r="F145" s="1" t="s">
        <v>58</v>
      </c>
      <c r="G145" s="1">
        <v>7</v>
      </c>
      <c r="H145" s="1">
        <v>155</v>
      </c>
      <c r="I145" s="1">
        <v>93</v>
      </c>
      <c r="J145" s="1">
        <v>1085</v>
      </c>
      <c r="K145" s="1">
        <v>434</v>
      </c>
      <c r="L145" s="1">
        <v>40</v>
      </c>
      <c r="M145" s="1">
        <v>2023</v>
      </c>
      <c r="N145" s="10" t="s">
        <v>226</v>
      </c>
      <c r="O145" s="1" t="s">
        <v>222</v>
      </c>
    </row>
    <row r="146" spans="1:15" ht="15" customHeight="1" x14ac:dyDescent="0.25">
      <c r="A146" s="1" t="s">
        <v>215</v>
      </c>
      <c r="B146" s="5">
        <v>45603</v>
      </c>
      <c r="C146" s="1" t="s">
        <v>50</v>
      </c>
      <c r="D146" s="1" t="s">
        <v>51</v>
      </c>
      <c r="E146" s="1" t="s">
        <v>57</v>
      </c>
      <c r="F146" s="1" t="s">
        <v>58</v>
      </c>
      <c r="G146" s="1">
        <v>6</v>
      </c>
      <c r="H146" s="1">
        <v>1180</v>
      </c>
      <c r="I146" s="1">
        <v>708</v>
      </c>
      <c r="J146" s="1">
        <v>7080</v>
      </c>
      <c r="K146" s="1">
        <v>2832</v>
      </c>
      <c r="L146" s="1">
        <v>40</v>
      </c>
      <c r="M146" s="1">
        <v>2024</v>
      </c>
      <c r="N146" s="10" t="s">
        <v>229</v>
      </c>
      <c r="O146" s="1" t="s">
        <v>222</v>
      </c>
    </row>
    <row r="147" spans="1:15" ht="15" customHeight="1" x14ac:dyDescent="0.25">
      <c r="A147" s="1" t="s">
        <v>216</v>
      </c>
      <c r="B147" s="5">
        <v>45003</v>
      </c>
      <c r="C147" s="1" t="s">
        <v>80</v>
      </c>
      <c r="D147" s="1" t="s">
        <v>51</v>
      </c>
      <c r="E147" s="1" t="s">
        <v>52</v>
      </c>
      <c r="F147" s="1" t="s">
        <v>69</v>
      </c>
      <c r="G147" s="1">
        <v>15</v>
      </c>
      <c r="H147" s="1">
        <v>1461</v>
      </c>
      <c r="I147" s="1">
        <v>876</v>
      </c>
      <c r="J147" s="1">
        <v>21915</v>
      </c>
      <c r="K147" s="1">
        <v>8775</v>
      </c>
      <c r="L147" s="1">
        <v>40.04</v>
      </c>
      <c r="M147" s="1">
        <v>2023</v>
      </c>
      <c r="N147" s="10" t="s">
        <v>226</v>
      </c>
      <c r="O147" s="1" t="s">
        <v>222</v>
      </c>
    </row>
    <row r="148" spans="1:15" ht="15" customHeight="1" x14ac:dyDescent="0.25">
      <c r="A148" s="1" t="s">
        <v>217</v>
      </c>
      <c r="B148" s="5">
        <v>45535</v>
      </c>
      <c r="C148" s="1" t="s">
        <v>86</v>
      </c>
      <c r="D148" s="1" t="s">
        <v>73</v>
      </c>
      <c r="E148" s="1" t="s">
        <v>64</v>
      </c>
      <c r="F148" s="1" t="s">
        <v>65</v>
      </c>
      <c r="G148" s="1">
        <v>8</v>
      </c>
      <c r="H148" s="1">
        <v>167</v>
      </c>
      <c r="I148" s="1">
        <v>100</v>
      </c>
      <c r="J148" s="1">
        <v>1336</v>
      </c>
      <c r="K148" s="1">
        <v>536</v>
      </c>
      <c r="L148" s="1">
        <v>40.119999999999997</v>
      </c>
      <c r="M148" s="1">
        <v>2024</v>
      </c>
      <c r="N148" s="10" t="s">
        <v>228</v>
      </c>
      <c r="O148" s="1" t="s">
        <v>222</v>
      </c>
    </row>
    <row r="149" spans="1:15" ht="15" customHeight="1" x14ac:dyDescent="0.25">
      <c r="A149" s="1" t="s">
        <v>218</v>
      </c>
      <c r="B149" s="5">
        <v>45650</v>
      </c>
      <c r="C149" s="1" t="s">
        <v>99</v>
      </c>
      <c r="D149" s="1" t="s">
        <v>61</v>
      </c>
      <c r="E149" s="1" t="s">
        <v>78</v>
      </c>
      <c r="F149" s="1" t="s">
        <v>65</v>
      </c>
      <c r="G149" s="1">
        <v>8</v>
      </c>
      <c r="H149" s="1">
        <v>493</v>
      </c>
      <c r="I149" s="1">
        <v>295</v>
      </c>
      <c r="J149" s="1">
        <v>3944</v>
      </c>
      <c r="K149" s="1">
        <v>1584</v>
      </c>
      <c r="L149" s="1">
        <v>40.159999999999997</v>
      </c>
      <c r="M149" s="1">
        <v>2024</v>
      </c>
      <c r="N149" s="10" t="s">
        <v>227</v>
      </c>
      <c r="O149" s="1" t="s">
        <v>222</v>
      </c>
    </row>
    <row r="150" spans="1:15" ht="15" customHeight="1" x14ac:dyDescent="0.25">
      <c r="A150" s="1" t="s">
        <v>219</v>
      </c>
      <c r="B150" s="5">
        <v>45197</v>
      </c>
      <c r="C150" s="1" t="s">
        <v>63</v>
      </c>
      <c r="D150" s="1" t="s">
        <v>61</v>
      </c>
      <c r="E150" s="1" t="s">
        <v>57</v>
      </c>
      <c r="F150" s="1" t="s">
        <v>69</v>
      </c>
      <c r="G150" s="1">
        <v>4</v>
      </c>
      <c r="H150" s="1">
        <v>298</v>
      </c>
      <c r="I150" s="1">
        <v>178</v>
      </c>
      <c r="J150" s="1">
        <v>1192</v>
      </c>
      <c r="K150" s="1">
        <v>480</v>
      </c>
      <c r="L150" s="1">
        <v>40.270000000000003</v>
      </c>
      <c r="M150" s="1">
        <v>2023</v>
      </c>
      <c r="N150" s="10" t="s">
        <v>232</v>
      </c>
      <c r="O150" s="1" t="s">
        <v>222</v>
      </c>
    </row>
    <row r="151" spans="1:15" ht="15" customHeight="1" x14ac:dyDescent="0.25">
      <c r="A151" s="1" t="s">
        <v>220</v>
      </c>
      <c r="B151" s="5">
        <v>45157</v>
      </c>
      <c r="C151" s="1" t="s">
        <v>80</v>
      </c>
      <c r="D151" s="1" t="s">
        <v>51</v>
      </c>
      <c r="E151" s="1" t="s">
        <v>64</v>
      </c>
      <c r="F151" s="1" t="s">
        <v>58</v>
      </c>
      <c r="G151" s="1">
        <v>3</v>
      </c>
      <c r="H151" s="1">
        <v>172</v>
      </c>
      <c r="I151" s="1">
        <v>103</v>
      </c>
      <c r="J151" s="1">
        <v>516</v>
      </c>
      <c r="K151" s="1">
        <v>207</v>
      </c>
      <c r="L151" s="1">
        <v>40.119999999999997</v>
      </c>
      <c r="M151" s="1">
        <v>2023</v>
      </c>
      <c r="N151" s="10" t="s">
        <v>228</v>
      </c>
      <c r="O151" s="1" t="s">
        <v>222</v>
      </c>
    </row>
  </sheetData>
  <conditionalFormatting sqref="K2:K1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51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{2C148FB8-2E4A-4523-A8F2-D570A99A8ECC}</x14:id>
        </ext>
      </extLst>
    </cfRule>
  </conditionalFormatting>
  <conditionalFormatting sqref="N2:N151">
    <cfRule type="expression" dxfId="0" priority="4">
      <formula>$N2="Excellent"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48FB8-2E4A-4523-A8F2-D570A99A8ECC}">
            <x14:dataBar axisPosition="none">
              <x14:cfvo type="min"/>
              <x14:cfvo type="max"/>
              <x14:negativeFillColor rgb="FF5B9BD5"/>
            </x14:dataBar>
          </x14:cfRule>
          <xm:sqref>J2:J151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29"/>
  <sheetViews>
    <sheetView zoomScaleNormal="100" workbookViewId="0">
      <selection activeCell="D26" sqref="D26"/>
    </sheetView>
  </sheetViews>
  <sheetFormatPr defaultColWidth="8.7109375" defaultRowHeight="15" x14ac:dyDescent="0.25"/>
  <cols>
    <col min="1" max="5" width="20" style="1" customWidth="1"/>
  </cols>
  <sheetData>
    <row r="1" spans="1:7" ht="15" customHeight="1" x14ac:dyDescent="0.25">
      <c r="A1" s="30" t="s">
        <v>240</v>
      </c>
      <c r="B1" s="30"/>
      <c r="C1" s="30"/>
      <c r="D1" s="30"/>
      <c r="E1" s="30"/>
      <c r="F1" s="30"/>
    </row>
    <row r="3" spans="1:7" ht="15" customHeight="1" x14ac:dyDescent="0.25">
      <c r="A3" s="31" t="s">
        <v>241</v>
      </c>
      <c r="B3" s="31"/>
      <c r="C3" s="31"/>
      <c r="D3" s="32" t="s">
        <v>242</v>
      </c>
      <c r="E3" s="32"/>
      <c r="F3" s="32"/>
      <c r="G3" s="32"/>
    </row>
    <row r="5" spans="1:7" ht="15" customHeight="1" x14ac:dyDescent="0.25">
      <c r="A5" s="22" t="s">
        <v>243</v>
      </c>
      <c r="B5" s="24" t="s">
        <v>62</v>
      </c>
      <c r="D5" s="20" t="s">
        <v>244</v>
      </c>
      <c r="E5" s="20"/>
    </row>
    <row r="6" spans="1:7" x14ac:dyDescent="0.25">
      <c r="A6" s="22"/>
      <c r="B6" s="22"/>
      <c r="D6" s="20"/>
      <c r="E6" s="20"/>
    </row>
    <row r="7" spans="1:7" ht="15" customHeight="1" x14ac:dyDescent="0.25">
      <c r="A7" s="22" t="s">
        <v>245</v>
      </c>
      <c r="B7" s="22"/>
      <c r="D7" s="20"/>
      <c r="E7" s="20"/>
    </row>
    <row r="8" spans="1:7" ht="15" customHeight="1" x14ac:dyDescent="0.25">
      <c r="A8" s="22" t="s">
        <v>246</v>
      </c>
      <c r="B8" s="22" t="str">
        <f>VLOOKUP(B5,CleanedData!$A$2:$N$151,3,FALSE())</f>
        <v>Router</v>
      </c>
      <c r="D8" s="20" t="s">
        <v>247</v>
      </c>
      <c r="E8" s="20" t="str">
        <f>INDEX(CleanedData!$C$2:$C$151,MATCH(MAX(CleanedData!$J$2:$J$151),CleanedData!$J$2:$J$151,0))</f>
        <v>Tablet</v>
      </c>
    </row>
    <row r="9" spans="1:7" ht="15" customHeight="1" x14ac:dyDescent="0.25">
      <c r="A9" s="22" t="s">
        <v>248</v>
      </c>
      <c r="B9" s="22" t="str">
        <f>VLOOKUP(B5,CleanedData!$A$2:$N$151,4,FALSE())</f>
        <v>Peripherals</v>
      </c>
      <c r="D9" s="20" t="s">
        <v>249</v>
      </c>
      <c r="E9" s="21">
        <f>MAX(CleanedData!$J$2:$J$151)</f>
        <v>29592</v>
      </c>
    </row>
    <row r="10" spans="1:7" ht="15" customHeight="1" x14ac:dyDescent="0.25">
      <c r="A10" s="22" t="s">
        <v>250</v>
      </c>
      <c r="B10" s="22" t="str">
        <f>VLOOKUP(B5,CleanedData!$A$2:$N$151,5,FALSE())</f>
        <v>East</v>
      </c>
    </row>
    <row r="11" spans="1:7" ht="15" customHeight="1" x14ac:dyDescent="0.25">
      <c r="A11" s="22" t="s">
        <v>251</v>
      </c>
      <c r="B11" s="23">
        <f>VLOOKUP(B5,CleanedData!$A$2:$N$151,10,FALSE())</f>
        <v>2262</v>
      </c>
    </row>
    <row r="14" spans="1:7" ht="15" customHeight="1" x14ac:dyDescent="0.25">
      <c r="A14" s="33" t="s">
        <v>252</v>
      </c>
      <c r="B14" s="33"/>
      <c r="C14" s="33"/>
      <c r="D14" s="33"/>
      <c r="E14" s="33"/>
      <c r="F14" s="33"/>
    </row>
    <row r="16" spans="1:7" ht="15" customHeight="1" x14ac:dyDescent="0.25">
      <c r="A16" s="25" t="s">
        <v>253</v>
      </c>
      <c r="B16" s="25"/>
      <c r="C16" s="25"/>
      <c r="D16" s="25"/>
      <c r="E16" s="25"/>
    </row>
    <row r="17" spans="1:5" ht="15" customHeight="1" x14ac:dyDescent="0.25">
      <c r="A17" s="25" t="s">
        <v>254</v>
      </c>
      <c r="B17" s="26">
        <v>50000</v>
      </c>
      <c r="C17" s="25"/>
      <c r="D17" s="25"/>
      <c r="E17" s="25"/>
    </row>
    <row r="18" spans="1:5" x14ac:dyDescent="0.25">
      <c r="A18" s="25"/>
      <c r="B18" s="25"/>
      <c r="C18" s="25"/>
      <c r="D18" s="25"/>
      <c r="E18" s="25"/>
    </row>
    <row r="19" spans="1:5" ht="15" customHeight="1" x14ac:dyDescent="0.25">
      <c r="A19" s="25" t="s">
        <v>38</v>
      </c>
      <c r="B19" s="25" t="s">
        <v>235</v>
      </c>
      <c r="C19" s="25" t="s">
        <v>255</v>
      </c>
      <c r="D19" s="25" t="s">
        <v>256</v>
      </c>
      <c r="E19" s="25" t="s">
        <v>257</v>
      </c>
    </row>
    <row r="20" spans="1:5" ht="15" customHeight="1" x14ac:dyDescent="0.25">
      <c r="A20" s="25" t="s">
        <v>52</v>
      </c>
      <c r="B20" s="27">
        <f>SUMIF(CleanedData!$E$2:$E$151,A20,CleanedData!$J$2:$J$151)</f>
        <v>171653</v>
      </c>
      <c r="C20" s="25" t="str">
        <f>IF(B20&gt;$B$17,"Met","Below")</f>
        <v>Met</v>
      </c>
      <c r="D20" s="27">
        <f>IF(B20&gt;$B$17,B20*0.05,0)</f>
        <v>8582.65</v>
      </c>
      <c r="E20" s="25" t="str">
        <f>IF(B20&gt;60000,"Excellent",IF(B20&gt;50000,"Good",IF(B20&gt;40000,"Average","Poor")))</f>
        <v>Excellent</v>
      </c>
    </row>
    <row r="21" spans="1:5" ht="15" customHeight="1" x14ac:dyDescent="0.25">
      <c r="A21" s="25" t="s">
        <v>57</v>
      </c>
      <c r="B21" s="27">
        <f>SUMIF(CleanedData!$E$2:$E$151,A21,CleanedData!$J$2:$J$151)</f>
        <v>208885</v>
      </c>
      <c r="C21" s="25" t="str">
        <f>IF(B21&gt;$B$17,"Met","Below")</f>
        <v>Met</v>
      </c>
      <c r="D21" s="27">
        <f>IF(B21&gt;$B$17,B21*0.05,0)</f>
        <v>10444.25</v>
      </c>
      <c r="E21" s="25" t="str">
        <f>IF(B21&gt;60000,"Excellent",IF(B21&gt;50000,"Good",IF(B21&gt;40000,"Average","Poor")))</f>
        <v>Excellent</v>
      </c>
    </row>
    <row r="22" spans="1:5" ht="15" customHeight="1" x14ac:dyDescent="0.25">
      <c r="A22" s="25" t="s">
        <v>64</v>
      </c>
      <c r="B22" s="27">
        <f>SUMIF(CleanedData!$E$2:$E$151,A22,CleanedData!$J$2:$J$151)</f>
        <v>143793</v>
      </c>
      <c r="C22" s="25" t="str">
        <f>IF(B22&gt;$B$17,"Met","Below")</f>
        <v>Met</v>
      </c>
      <c r="D22" s="27">
        <f>IF(B22&gt;$B$17,B22*0.05,0)</f>
        <v>7189.6500000000005</v>
      </c>
      <c r="E22" s="25" t="str">
        <f>IF(B22&gt;60000,"Excellent",IF(B22&gt;50000,"Good",IF(B22&gt;40000,"Average","Poor")))</f>
        <v>Excellent</v>
      </c>
    </row>
    <row r="23" spans="1:5" ht="15" customHeight="1" x14ac:dyDescent="0.25">
      <c r="A23" s="25" t="s">
        <v>78</v>
      </c>
      <c r="B23" s="27">
        <f>SUMIF(CleanedData!$E$2:$E$151,A23,CleanedData!$J$2:$J$151)</f>
        <v>172666</v>
      </c>
      <c r="C23" s="25" t="str">
        <f>IF(B23&gt;$B$17,"Met","Below")</f>
        <v>Met</v>
      </c>
      <c r="D23" s="27">
        <f>IF(B23&gt;$B$17,B23*0.05,0)</f>
        <v>8633.3000000000011</v>
      </c>
      <c r="E23" s="25" t="str">
        <f>IF(B23&gt;60000,"Excellent",IF(B23&gt;50000,"Good",IF(B23&gt;40000,"Average","Poor")))</f>
        <v>Excellent</v>
      </c>
    </row>
    <row r="26" spans="1:5" ht="15" customHeight="1" x14ac:dyDescent="0.25">
      <c r="A26" s="28" t="s">
        <v>258</v>
      </c>
      <c r="B26" s="28"/>
      <c r="C26" s="28"/>
      <c r="D26" s="28"/>
    </row>
    <row r="27" spans="1:5" x14ac:dyDescent="0.25">
      <c r="A27" s="28"/>
      <c r="B27" s="28"/>
      <c r="C27" s="28"/>
      <c r="D27" s="28"/>
    </row>
    <row r="28" spans="1:5" ht="15" customHeight="1" x14ac:dyDescent="0.25">
      <c r="A28" s="28" t="s">
        <v>250</v>
      </c>
      <c r="B28" s="28" t="s">
        <v>52</v>
      </c>
      <c r="C28" s="28" t="s">
        <v>248</v>
      </c>
      <c r="D28" s="28" t="s">
        <v>51</v>
      </c>
    </row>
    <row r="29" spans="1:5" ht="15" customHeight="1" x14ac:dyDescent="0.25">
      <c r="A29" s="28" t="s">
        <v>259</v>
      </c>
      <c r="B29" s="29">
        <f>SUMIFS(CleanedData!$J$2:$J$151,CleanedData!$E$2:$E$151,B28,CleanedData!$D$2:$D$151,D28)</f>
        <v>115605</v>
      </c>
      <c r="C29" s="28"/>
      <c r="D29" s="28"/>
    </row>
  </sheetData>
  <mergeCells count="4">
    <mergeCell ref="A1:F1"/>
    <mergeCell ref="A3:C3"/>
    <mergeCell ref="D3:G3"/>
    <mergeCell ref="A14:F1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K37"/>
  <sheetViews>
    <sheetView tabSelected="1" topLeftCell="B1" zoomScaleNormal="100" workbookViewId="0">
      <selection activeCell="G8" sqref="G8"/>
    </sheetView>
  </sheetViews>
  <sheetFormatPr defaultColWidth="8.7109375" defaultRowHeight="15" x14ac:dyDescent="0.25"/>
  <cols>
    <col min="1" max="1" width="33.140625" style="1" customWidth="1"/>
    <col min="2" max="11" width="16" style="1" customWidth="1"/>
  </cols>
  <sheetData>
    <row r="1" spans="1:11" ht="30" customHeight="1" x14ac:dyDescent="0.3">
      <c r="A1" s="34" t="s">
        <v>260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ht="15" customHeight="1" x14ac:dyDescent="0.25">
      <c r="B3" s="14" t="s">
        <v>235</v>
      </c>
      <c r="E3" s="14" t="s">
        <v>236</v>
      </c>
      <c r="H3" s="14" t="s">
        <v>261</v>
      </c>
      <c r="J3" s="33" t="s">
        <v>262</v>
      </c>
      <c r="K3" s="33"/>
    </row>
    <row r="4" spans="1:11" ht="15" customHeight="1" x14ac:dyDescent="0.3">
      <c r="B4" s="15">
        <f>SUM(CleanedData!$J$2:$J$151)</f>
        <v>696997</v>
      </c>
      <c r="E4" s="15">
        <f>SUM(CleanedData!$K$2:$K$151)</f>
        <v>279366</v>
      </c>
      <c r="H4" s="16">
        <f>COUNTA(CleanedData!$A$2:$A$151)</f>
        <v>150</v>
      </c>
    </row>
    <row r="5" spans="1:11" ht="15" customHeight="1" x14ac:dyDescent="0.25">
      <c r="J5" s="1" t="s">
        <v>263</v>
      </c>
      <c r="K5" s="17" t="s">
        <v>264</v>
      </c>
    </row>
    <row r="6" spans="1:11" ht="15" customHeight="1" x14ac:dyDescent="0.25">
      <c r="B6" s="14" t="s">
        <v>265</v>
      </c>
      <c r="E6" s="14" t="s">
        <v>266</v>
      </c>
      <c r="H6" s="14" t="s">
        <v>267</v>
      </c>
    </row>
    <row r="7" spans="1:11" ht="15" customHeight="1" x14ac:dyDescent="0.3">
      <c r="B7" s="15">
        <f>AVERAGE(CleanedData!$J$2:$J$151)</f>
        <v>4646.6466666666665</v>
      </c>
      <c r="E7" s="18" t="str">
        <f>INDEX(PivotTables!$A$4:$A$7,MATCH(MAX(PivotTables!$B$4:$B$7),PivotTables!$B$4:$B$7,0))</f>
        <v>South</v>
      </c>
      <c r="H7" s="18" t="str">
        <f>INDEX(CleanedData!$C$2:$C$151,MATCH(MAX(CleanedData!$J$2:$J$151),CleanedData!$J$2:$J$151,0))</f>
        <v>Tablet</v>
      </c>
      <c r="J7" s="1" t="s">
        <v>268</v>
      </c>
      <c r="K7" s="17" t="s">
        <v>264</v>
      </c>
    </row>
    <row r="9" spans="1:11" ht="15" customHeight="1" x14ac:dyDescent="0.25">
      <c r="J9" s="1" t="s">
        <v>269</v>
      </c>
      <c r="K9" s="17" t="s">
        <v>264</v>
      </c>
    </row>
    <row r="10" spans="1:11" ht="15" customHeight="1" x14ac:dyDescent="0.25">
      <c r="A10" s="19" t="s">
        <v>270</v>
      </c>
      <c r="D10" s="19" t="s">
        <v>271</v>
      </c>
    </row>
    <row r="11" spans="1:11" ht="15" customHeight="1" x14ac:dyDescent="0.25">
      <c r="A11" s="1" t="s">
        <v>64</v>
      </c>
      <c r="B11" s="1">
        <v>143793</v>
      </c>
      <c r="D11" s="1" t="s">
        <v>73</v>
      </c>
      <c r="E11" s="1">
        <v>84755</v>
      </c>
      <c r="J11" s="19" t="s">
        <v>272</v>
      </c>
    </row>
    <row r="12" spans="1:11" ht="15" customHeight="1" x14ac:dyDescent="0.25">
      <c r="A12" s="1" t="s">
        <v>52</v>
      </c>
      <c r="B12" s="1">
        <v>171653</v>
      </c>
      <c r="D12" s="1" t="s">
        <v>51</v>
      </c>
      <c r="E12" s="1">
        <v>422800</v>
      </c>
      <c r="J12" s="1" t="s">
        <v>273</v>
      </c>
      <c r="K12" s="12">
        <f>SUM(CleanedData!$J$2:$J$151)</f>
        <v>696997</v>
      </c>
    </row>
    <row r="13" spans="1:11" ht="15" customHeight="1" x14ac:dyDescent="0.25">
      <c r="A13" s="1" t="s">
        <v>57</v>
      </c>
      <c r="B13" s="1">
        <v>208885</v>
      </c>
      <c r="D13" s="1" t="s">
        <v>61</v>
      </c>
      <c r="E13" s="1">
        <v>189442</v>
      </c>
      <c r="J13" s="1" t="s">
        <v>274</v>
      </c>
      <c r="K13" s="1">
        <f>COUNTA(CleanedData!$A$2:$A$151)</f>
        <v>150</v>
      </c>
    </row>
    <row r="14" spans="1:11" ht="15" customHeight="1" x14ac:dyDescent="0.25">
      <c r="A14" s="1" t="s">
        <v>78</v>
      </c>
      <c r="B14" s="1">
        <v>172666</v>
      </c>
    </row>
    <row r="25" spans="1:2" ht="15" customHeight="1" x14ac:dyDescent="0.25">
      <c r="A25" s="19" t="s">
        <v>275</v>
      </c>
    </row>
    <row r="26" spans="1:2" ht="15" customHeight="1" x14ac:dyDescent="0.25">
      <c r="A26" s="1" t="s">
        <v>276</v>
      </c>
      <c r="B26" s="1">
        <v>37806</v>
      </c>
    </row>
    <row r="27" spans="1:2" ht="15" customHeight="1" x14ac:dyDescent="0.25">
      <c r="A27" s="1" t="s">
        <v>277</v>
      </c>
      <c r="B27" s="1">
        <v>7068</v>
      </c>
    </row>
    <row r="28" spans="1:2" ht="15" customHeight="1" x14ac:dyDescent="0.25">
      <c r="A28" s="1" t="s">
        <v>278</v>
      </c>
      <c r="B28" s="1">
        <v>64582</v>
      </c>
    </row>
    <row r="29" spans="1:2" ht="15" customHeight="1" x14ac:dyDescent="0.25">
      <c r="A29" s="1" t="s">
        <v>279</v>
      </c>
      <c r="B29" s="1">
        <v>4734</v>
      </c>
    </row>
    <row r="30" spans="1:2" ht="15" customHeight="1" x14ac:dyDescent="0.25">
      <c r="A30" s="1" t="s">
        <v>280</v>
      </c>
      <c r="B30" s="1">
        <v>27348</v>
      </c>
    </row>
    <row r="31" spans="1:2" ht="15" customHeight="1" x14ac:dyDescent="0.25">
      <c r="A31" s="1" t="s">
        <v>281</v>
      </c>
      <c r="B31" s="1">
        <v>8931</v>
      </c>
    </row>
    <row r="32" spans="1:2" ht="15" customHeight="1" x14ac:dyDescent="0.25">
      <c r="A32" s="1" t="s">
        <v>282</v>
      </c>
      <c r="B32" s="1">
        <v>69108</v>
      </c>
    </row>
    <row r="33" spans="1:2" ht="15" customHeight="1" x14ac:dyDescent="0.25">
      <c r="A33" s="1" t="s">
        <v>283</v>
      </c>
      <c r="B33" s="1">
        <v>33369</v>
      </c>
    </row>
    <row r="34" spans="1:2" ht="15" customHeight="1" x14ac:dyDescent="0.25">
      <c r="A34" s="1" t="s">
        <v>284</v>
      </c>
      <c r="B34" s="1">
        <v>40317</v>
      </c>
    </row>
    <row r="35" spans="1:2" ht="15" customHeight="1" x14ac:dyDescent="0.25">
      <c r="A35" s="1" t="s">
        <v>285</v>
      </c>
      <c r="B35" s="1">
        <v>17986</v>
      </c>
    </row>
    <row r="36" spans="1:2" ht="15" customHeight="1" x14ac:dyDescent="0.25">
      <c r="A36" s="1" t="s">
        <v>286</v>
      </c>
      <c r="B36" s="1">
        <v>18004</v>
      </c>
    </row>
    <row r="37" spans="1:2" ht="15" customHeight="1" x14ac:dyDescent="0.25">
      <c r="A37" s="1" t="s">
        <v>287</v>
      </c>
      <c r="B37" s="1">
        <v>27372</v>
      </c>
    </row>
  </sheetData>
  <mergeCells count="2">
    <mergeCell ref="A1:K1"/>
    <mergeCell ref="J3:K3"/>
  </mergeCells>
  <dataValidations count="3">
    <dataValidation type="list" sqref="K5">
      <formula1>"All,North,South,East,West"</formula1>
      <formula2>0</formula2>
    </dataValidation>
    <dataValidation type="list" sqref="K7">
      <formula1>"All,Electronics,Accessories,Peripherals"</formula1>
      <formula2>0</formula2>
    </dataValidation>
    <dataValidation type="list" sqref="K9">
      <formula1>"All,2023,2024"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Documentation</vt:lpstr>
      <vt:lpstr>RawData</vt:lpstr>
      <vt:lpstr>PivotTables</vt:lpstr>
      <vt:lpstr>CleanedData</vt:lpstr>
      <vt:lpstr>Analysis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2</cp:revision>
  <dcterms:created xsi:type="dcterms:W3CDTF">2026-04-09T13:11:10Z</dcterms:created>
  <dcterms:modified xsi:type="dcterms:W3CDTF">2026-04-10T10:00:20Z</dcterms:modified>
  <dc:language>en-US</dc:language>
</cp:coreProperties>
</file>