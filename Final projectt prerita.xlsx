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105" yWindow="-105" windowWidth="20730" windowHeight="11760" activeTab="5"/>
  </bookViews>
  <sheets>
    <sheet name="Data" sheetId="1" r:id="rId1"/>
    <sheet name=" Regression" sheetId="9" r:id="rId2"/>
    <sheet name="Pivot Tables" sheetId="6" r:id="rId3"/>
    <sheet name="Dashbord" sheetId="2" r:id="rId4"/>
    <sheet name="Documentation" sheetId="10" r:id="rId5"/>
    <sheet name="Insights" sheetId="11" r:id="rId6"/>
  </sheets>
  <definedNames>
    <definedName name="Slicer_Category">#N/A</definedName>
    <definedName name="Slicer_Month">#N/A</definedName>
    <definedName name="Slicer_Region">#N/A</definedName>
  </definedNames>
  <calcPr calcId="144525"/>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N3" i="1"/>
  <c r="S3" i="1" s="1"/>
  <c r="N4" i="1"/>
  <c r="S4" i="1" s="1"/>
  <c r="N5" i="1"/>
  <c r="S5" i="1" s="1"/>
  <c r="N6" i="1"/>
  <c r="S6" i="1" s="1"/>
  <c r="N7" i="1"/>
  <c r="S7" i="1" s="1"/>
  <c r="N8" i="1"/>
  <c r="S8" i="1" s="1"/>
  <c r="N9" i="1"/>
  <c r="S9" i="1" s="1"/>
  <c r="N10" i="1"/>
  <c r="S10" i="1" s="1"/>
  <c r="N11" i="1"/>
  <c r="S11" i="1" s="1"/>
  <c r="N12" i="1"/>
  <c r="S12" i="1" s="1"/>
  <c r="N13" i="1"/>
  <c r="S13" i="1" s="1"/>
  <c r="N14" i="1"/>
  <c r="S14" i="1" s="1"/>
  <c r="N15" i="1"/>
  <c r="S15" i="1" s="1"/>
  <c r="N16" i="1"/>
  <c r="S16" i="1" s="1"/>
  <c r="N17" i="1"/>
  <c r="S17" i="1" s="1"/>
  <c r="N18" i="1"/>
  <c r="S18" i="1" s="1"/>
  <c r="N19" i="1"/>
  <c r="S19" i="1" s="1"/>
  <c r="N20" i="1"/>
  <c r="S20" i="1" s="1"/>
  <c r="N21" i="1"/>
  <c r="S21" i="1" s="1"/>
  <c r="N22" i="1"/>
  <c r="S22" i="1" s="1"/>
  <c r="N23" i="1"/>
  <c r="S23" i="1" s="1"/>
  <c r="N24" i="1"/>
  <c r="S24" i="1" s="1"/>
  <c r="N25" i="1"/>
  <c r="S25" i="1" s="1"/>
  <c r="N26" i="1"/>
  <c r="S26" i="1" s="1"/>
  <c r="N27" i="1"/>
  <c r="S27" i="1" s="1"/>
  <c r="N28" i="1"/>
  <c r="S28" i="1" s="1"/>
  <c r="N29" i="1"/>
  <c r="S29" i="1" s="1"/>
  <c r="N30" i="1"/>
  <c r="S30" i="1" s="1"/>
  <c r="N31" i="1"/>
  <c r="S31" i="1" s="1"/>
  <c r="N32" i="1"/>
  <c r="N33" i="1"/>
  <c r="N34" i="1"/>
  <c r="S34" i="1" s="1"/>
  <c r="N35" i="1"/>
  <c r="S35" i="1" s="1"/>
  <c r="N36" i="1"/>
  <c r="S36" i="1" s="1"/>
  <c r="N37" i="1"/>
  <c r="S37" i="1" s="1"/>
  <c r="N38" i="1"/>
  <c r="S38" i="1" s="1"/>
  <c r="N39" i="1"/>
  <c r="S39" i="1" s="1"/>
  <c r="N40" i="1"/>
  <c r="S40" i="1" s="1"/>
  <c r="N41" i="1"/>
  <c r="S41" i="1" s="1"/>
  <c r="N42" i="1"/>
  <c r="S42" i="1" s="1"/>
  <c r="N43" i="1"/>
  <c r="S43" i="1" s="1"/>
  <c r="N44" i="1"/>
  <c r="S44" i="1" s="1"/>
  <c r="N45" i="1"/>
  <c r="S45" i="1" s="1"/>
  <c r="N46" i="1"/>
  <c r="S46" i="1" s="1"/>
  <c r="N47" i="1"/>
  <c r="S47" i="1" s="1"/>
  <c r="N48" i="1"/>
  <c r="S48" i="1" s="1"/>
  <c r="N49" i="1"/>
  <c r="S49" i="1" s="1"/>
  <c r="N50" i="1"/>
  <c r="S50" i="1" s="1"/>
  <c r="N51" i="1"/>
  <c r="S51" i="1" s="1"/>
  <c r="N52" i="1"/>
  <c r="S52" i="1" s="1"/>
  <c r="N53" i="1"/>
  <c r="S53" i="1" s="1"/>
  <c r="N54" i="1"/>
  <c r="S54" i="1" s="1"/>
  <c r="N55" i="1"/>
  <c r="S55" i="1" s="1"/>
  <c r="N56" i="1"/>
  <c r="S56" i="1" s="1"/>
  <c r="N57" i="1"/>
  <c r="S57" i="1" s="1"/>
  <c r="N58" i="1"/>
  <c r="S58" i="1" s="1"/>
  <c r="N59" i="1"/>
  <c r="S59" i="1" s="1"/>
  <c r="N60" i="1"/>
  <c r="S60" i="1" s="1"/>
  <c r="N61" i="1"/>
  <c r="S61" i="1" s="1"/>
  <c r="N62" i="1"/>
  <c r="S62" i="1" s="1"/>
  <c r="N63" i="1"/>
  <c r="S63" i="1" s="1"/>
  <c r="N64" i="1"/>
  <c r="S64" i="1" s="1"/>
  <c r="N65" i="1"/>
  <c r="S65" i="1" s="1"/>
  <c r="N66" i="1"/>
  <c r="S66" i="1" s="1"/>
  <c r="N67" i="1"/>
  <c r="S67" i="1" s="1"/>
  <c r="N68" i="1"/>
  <c r="S68" i="1" s="1"/>
  <c r="N69" i="1"/>
  <c r="S69" i="1" s="1"/>
  <c r="N70" i="1"/>
  <c r="S70" i="1" s="1"/>
  <c r="N71" i="1"/>
  <c r="S71" i="1" s="1"/>
  <c r="N72" i="1"/>
  <c r="S72" i="1" s="1"/>
  <c r="N73" i="1"/>
  <c r="S73" i="1" s="1"/>
  <c r="N74" i="1"/>
  <c r="S74" i="1" s="1"/>
  <c r="N75" i="1"/>
  <c r="S75" i="1" s="1"/>
  <c r="N76" i="1"/>
  <c r="S76" i="1" s="1"/>
  <c r="N77" i="1"/>
  <c r="S77" i="1" s="1"/>
  <c r="N78" i="1"/>
  <c r="S78" i="1" s="1"/>
  <c r="N79" i="1"/>
  <c r="S79" i="1" s="1"/>
  <c r="N80" i="1"/>
  <c r="S80" i="1" s="1"/>
  <c r="N81" i="1"/>
  <c r="S81" i="1" s="1"/>
  <c r="N82" i="1"/>
  <c r="S82" i="1" s="1"/>
  <c r="N83" i="1"/>
  <c r="S83" i="1" s="1"/>
  <c r="N84" i="1"/>
  <c r="S84" i="1" s="1"/>
  <c r="N85" i="1"/>
  <c r="S85" i="1" s="1"/>
  <c r="N86" i="1"/>
  <c r="S86" i="1" s="1"/>
  <c r="N87" i="1"/>
  <c r="S87" i="1" s="1"/>
  <c r="N88" i="1"/>
  <c r="S88" i="1" s="1"/>
  <c r="N89" i="1"/>
  <c r="S89" i="1" s="1"/>
  <c r="N90" i="1"/>
  <c r="S90" i="1" s="1"/>
  <c r="N91" i="1"/>
  <c r="S91" i="1" s="1"/>
  <c r="N92" i="1"/>
  <c r="S92" i="1" s="1"/>
  <c r="N93" i="1"/>
  <c r="S93" i="1" s="1"/>
  <c r="N94" i="1"/>
  <c r="S94" i="1" s="1"/>
  <c r="N95" i="1"/>
  <c r="S95" i="1" s="1"/>
  <c r="N96" i="1"/>
  <c r="S96" i="1" s="1"/>
  <c r="N97" i="1"/>
  <c r="S97" i="1" s="1"/>
  <c r="N98" i="1"/>
  <c r="S98" i="1" s="1"/>
  <c r="N99" i="1"/>
  <c r="S99" i="1" s="1"/>
  <c r="N100" i="1"/>
  <c r="S100" i="1" s="1"/>
  <c r="N101" i="1"/>
  <c r="S101" i="1" s="1"/>
  <c r="N102" i="1"/>
  <c r="S102" i="1" s="1"/>
  <c r="N103" i="1"/>
  <c r="S103" i="1" s="1"/>
  <c r="N104" i="1"/>
  <c r="S104" i="1" s="1"/>
  <c r="N105" i="1"/>
  <c r="S105" i="1" s="1"/>
  <c r="N106" i="1"/>
  <c r="S106" i="1" s="1"/>
  <c r="N107" i="1"/>
  <c r="S107" i="1" s="1"/>
  <c r="N108" i="1"/>
  <c r="S108" i="1" s="1"/>
  <c r="N109" i="1"/>
  <c r="S109" i="1" s="1"/>
  <c r="N110" i="1"/>
  <c r="S110" i="1" s="1"/>
  <c r="N111" i="1"/>
  <c r="S111" i="1" s="1"/>
  <c r="N112" i="1"/>
  <c r="S112" i="1" s="1"/>
  <c r="N113" i="1"/>
  <c r="S113" i="1" s="1"/>
  <c r="N114" i="1"/>
  <c r="S114" i="1" s="1"/>
  <c r="N115" i="1"/>
  <c r="S115" i="1" s="1"/>
  <c r="N116" i="1"/>
  <c r="S116" i="1" s="1"/>
  <c r="N117" i="1"/>
  <c r="S117" i="1" s="1"/>
  <c r="N118" i="1"/>
  <c r="S118" i="1" s="1"/>
  <c r="N119" i="1"/>
  <c r="S119" i="1" s="1"/>
  <c r="N120" i="1"/>
  <c r="S120" i="1" s="1"/>
  <c r="N121" i="1"/>
  <c r="S121" i="1" s="1"/>
  <c r="N122" i="1"/>
  <c r="S122" i="1" s="1"/>
  <c r="N123" i="1"/>
  <c r="S123" i="1" s="1"/>
  <c r="N124" i="1"/>
  <c r="S124" i="1" s="1"/>
  <c r="N125" i="1"/>
  <c r="S125" i="1" s="1"/>
  <c r="N126" i="1"/>
  <c r="S126" i="1" s="1"/>
  <c r="N127" i="1"/>
  <c r="S127" i="1" s="1"/>
  <c r="N128" i="1"/>
  <c r="S128" i="1" s="1"/>
  <c r="N129" i="1"/>
  <c r="S129" i="1" s="1"/>
  <c r="N130" i="1"/>
  <c r="S130" i="1" s="1"/>
  <c r="N131" i="1"/>
  <c r="S131" i="1" s="1"/>
  <c r="N132" i="1"/>
  <c r="S132" i="1" s="1"/>
  <c r="N133" i="1"/>
  <c r="S133" i="1" s="1"/>
  <c r="N134" i="1"/>
  <c r="S134" i="1" s="1"/>
  <c r="N135" i="1"/>
  <c r="S135" i="1" s="1"/>
  <c r="N136" i="1"/>
  <c r="S136" i="1" s="1"/>
  <c r="N137" i="1"/>
  <c r="S137" i="1" s="1"/>
  <c r="N138" i="1"/>
  <c r="S138" i="1" s="1"/>
  <c r="N139" i="1"/>
  <c r="S139" i="1" s="1"/>
  <c r="N140" i="1"/>
  <c r="S140" i="1" s="1"/>
  <c r="N141" i="1"/>
  <c r="S141" i="1" s="1"/>
  <c r="N142" i="1"/>
  <c r="S142" i="1" s="1"/>
  <c r="N143" i="1"/>
  <c r="S143" i="1" s="1"/>
  <c r="N144" i="1"/>
  <c r="S144" i="1" s="1"/>
  <c r="N145" i="1"/>
  <c r="S145" i="1" s="1"/>
  <c r="N146" i="1"/>
  <c r="S146" i="1" s="1"/>
  <c r="N147" i="1"/>
  <c r="S147" i="1" s="1"/>
  <c r="N148" i="1"/>
  <c r="S148" i="1" s="1"/>
  <c r="N149" i="1"/>
  <c r="S149" i="1" s="1"/>
  <c r="N150" i="1"/>
  <c r="S150" i="1" s="1"/>
  <c r="N151" i="1"/>
  <c r="S151" i="1" s="1"/>
  <c r="N152" i="1"/>
  <c r="S152" i="1" s="1"/>
  <c r="N153" i="1"/>
  <c r="S153" i="1" s="1"/>
  <c r="N154" i="1"/>
  <c r="S154" i="1" s="1"/>
  <c r="N155" i="1"/>
  <c r="S155" i="1" s="1"/>
  <c r="N156" i="1"/>
  <c r="S156" i="1" s="1"/>
  <c r="N157" i="1"/>
  <c r="S157" i="1" s="1"/>
  <c r="N158" i="1"/>
  <c r="S158" i="1" s="1"/>
  <c r="N159" i="1"/>
  <c r="S159" i="1" s="1"/>
  <c r="N160" i="1"/>
  <c r="S160" i="1" s="1"/>
  <c r="N161" i="1"/>
  <c r="S161" i="1" s="1"/>
  <c r="N162" i="1"/>
  <c r="S162" i="1" s="1"/>
  <c r="N163" i="1"/>
  <c r="S163" i="1" s="1"/>
  <c r="N164" i="1"/>
  <c r="S164" i="1" s="1"/>
  <c r="N165" i="1"/>
  <c r="S165" i="1" s="1"/>
  <c r="N166" i="1"/>
  <c r="S166" i="1" s="1"/>
  <c r="N167" i="1"/>
  <c r="S167" i="1" s="1"/>
  <c r="N168" i="1"/>
  <c r="S168" i="1" s="1"/>
  <c r="N169" i="1"/>
  <c r="S169" i="1" s="1"/>
  <c r="N170" i="1"/>
  <c r="S170" i="1" s="1"/>
  <c r="N171" i="1"/>
  <c r="S171" i="1" s="1"/>
  <c r="N172" i="1"/>
  <c r="S172" i="1" s="1"/>
  <c r="N173" i="1"/>
  <c r="S173" i="1" s="1"/>
  <c r="N174" i="1"/>
  <c r="S174" i="1" s="1"/>
  <c r="N175" i="1"/>
  <c r="S175" i="1" s="1"/>
  <c r="N176" i="1"/>
  <c r="S176" i="1" s="1"/>
  <c r="N177" i="1"/>
  <c r="S177" i="1" s="1"/>
  <c r="N178" i="1"/>
  <c r="S178" i="1" s="1"/>
  <c r="N179" i="1"/>
  <c r="S179" i="1" s="1"/>
  <c r="N180" i="1"/>
  <c r="S180" i="1" s="1"/>
  <c r="N181" i="1"/>
  <c r="S181" i="1" s="1"/>
  <c r="N182" i="1"/>
  <c r="S182" i="1" s="1"/>
  <c r="N183" i="1"/>
  <c r="S183" i="1" s="1"/>
  <c r="N184" i="1"/>
  <c r="S184" i="1" s="1"/>
  <c r="N185" i="1"/>
  <c r="S185" i="1" s="1"/>
  <c r="N186" i="1"/>
  <c r="S186" i="1" s="1"/>
  <c r="N187" i="1"/>
  <c r="S187" i="1" s="1"/>
  <c r="N188" i="1"/>
  <c r="S188" i="1" s="1"/>
  <c r="N189" i="1"/>
  <c r="S189" i="1" s="1"/>
  <c r="N190" i="1"/>
  <c r="N191" i="1"/>
  <c r="S191" i="1" s="1"/>
  <c r="N192" i="1"/>
  <c r="S192" i="1" s="1"/>
  <c r="N193" i="1"/>
  <c r="S193" i="1" s="1"/>
  <c r="N194" i="1"/>
  <c r="S194" i="1" s="1"/>
  <c r="N195" i="1"/>
  <c r="S195" i="1" s="1"/>
  <c r="N196" i="1"/>
  <c r="S196" i="1" s="1"/>
  <c r="N197" i="1"/>
  <c r="S197" i="1" s="1"/>
  <c r="N198" i="1"/>
  <c r="S198" i="1" s="1"/>
  <c r="N199" i="1"/>
  <c r="S199" i="1" s="1"/>
  <c r="N200" i="1"/>
  <c r="S200" i="1" s="1"/>
  <c r="N201" i="1"/>
  <c r="S201" i="1" s="1"/>
  <c r="N202" i="1"/>
  <c r="S202" i="1" s="1"/>
  <c r="N203" i="1"/>
  <c r="S203" i="1" s="1"/>
  <c r="N204" i="1"/>
  <c r="S204" i="1" s="1"/>
  <c r="N205" i="1"/>
  <c r="S205" i="1" s="1"/>
  <c r="N206" i="1"/>
  <c r="S206" i="1" s="1"/>
  <c r="N207" i="1"/>
  <c r="S207" i="1" s="1"/>
  <c r="N208" i="1"/>
  <c r="S208" i="1" s="1"/>
  <c r="N209" i="1"/>
  <c r="S209" i="1" s="1"/>
  <c r="N210" i="1"/>
  <c r="S210" i="1" s="1"/>
  <c r="N211" i="1"/>
  <c r="S211" i="1" s="1"/>
  <c r="N212" i="1"/>
  <c r="S212" i="1" s="1"/>
  <c r="N213" i="1"/>
  <c r="S213" i="1" s="1"/>
  <c r="N214" i="1"/>
  <c r="S214" i="1" s="1"/>
  <c r="N215" i="1"/>
  <c r="S215" i="1" s="1"/>
  <c r="N216" i="1"/>
  <c r="S216" i="1" s="1"/>
  <c r="N217" i="1"/>
  <c r="S217" i="1" s="1"/>
  <c r="N218" i="1"/>
  <c r="S218" i="1" s="1"/>
  <c r="N219" i="1"/>
  <c r="S219" i="1" s="1"/>
  <c r="N220" i="1"/>
  <c r="S220" i="1" s="1"/>
  <c r="N221" i="1"/>
  <c r="S221" i="1" s="1"/>
  <c r="N222" i="1"/>
  <c r="S222" i="1" s="1"/>
  <c r="N223" i="1"/>
  <c r="S223" i="1" s="1"/>
  <c r="N224" i="1"/>
  <c r="S224" i="1" s="1"/>
  <c r="N225" i="1"/>
  <c r="S225" i="1" s="1"/>
  <c r="N226" i="1"/>
  <c r="S226" i="1" s="1"/>
  <c r="N227" i="1"/>
  <c r="S227" i="1" s="1"/>
  <c r="N228" i="1"/>
  <c r="S228" i="1" s="1"/>
  <c r="N229" i="1"/>
  <c r="S229" i="1" s="1"/>
  <c r="N230" i="1"/>
  <c r="S230" i="1" s="1"/>
  <c r="N231" i="1"/>
  <c r="S231" i="1" s="1"/>
  <c r="N232" i="1"/>
  <c r="S232" i="1" s="1"/>
  <c r="N233" i="1"/>
  <c r="S233" i="1" s="1"/>
  <c r="N234" i="1"/>
  <c r="S234" i="1" s="1"/>
  <c r="N235" i="1"/>
  <c r="S235" i="1" s="1"/>
  <c r="N236" i="1"/>
  <c r="S236" i="1" s="1"/>
  <c r="N237" i="1"/>
  <c r="S237" i="1" s="1"/>
  <c r="N238" i="1"/>
  <c r="S238" i="1" s="1"/>
  <c r="N239" i="1"/>
  <c r="S239" i="1" s="1"/>
  <c r="N240" i="1"/>
  <c r="S240" i="1" s="1"/>
  <c r="N241" i="1"/>
  <c r="S241" i="1" s="1"/>
  <c r="N242" i="1"/>
  <c r="S242" i="1" s="1"/>
  <c r="N243" i="1"/>
  <c r="S243" i="1" s="1"/>
  <c r="N244" i="1"/>
  <c r="S244" i="1" s="1"/>
  <c r="N245" i="1"/>
  <c r="S245" i="1" s="1"/>
  <c r="N246" i="1"/>
  <c r="S246" i="1" s="1"/>
  <c r="N247" i="1"/>
  <c r="S247" i="1" s="1"/>
  <c r="N248" i="1"/>
  <c r="S248" i="1" s="1"/>
  <c r="N249" i="1"/>
  <c r="S249" i="1" s="1"/>
  <c r="N250" i="1"/>
  <c r="S250" i="1" s="1"/>
  <c r="N251" i="1"/>
  <c r="S251" i="1" s="1"/>
  <c r="N2" i="1"/>
  <c r="S2" i="1" s="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 i="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2" i="1" a="1"/>
  <c r="R2" i="1" s="1"/>
  <c r="M6" i="2"/>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S32" i="1" l="1"/>
  <c r="R6" i="2"/>
  <c r="T2" i="1" a="1"/>
  <c r="S33" i="1"/>
  <c r="S190" i="1"/>
  <c r="C6" i="2"/>
  <c r="T2" i="1" l="1"/>
  <c r="AG34" i="1"/>
  <c r="AF34" i="1"/>
  <c r="AE34" i="1"/>
  <c r="AD34" i="1"/>
  <c r="AC34" i="1"/>
  <c r="AB34" i="1"/>
  <c r="AA34" i="1"/>
  <c r="Z34" i="1"/>
  <c r="Y34" i="1"/>
  <c r="X34" i="1"/>
  <c r="W34" i="1"/>
  <c r="V34" i="1"/>
  <c r="U34" i="1"/>
  <c r="T34" i="1"/>
  <c r="AG33" i="1"/>
  <c r="AF33" i="1"/>
  <c r="AE33" i="1"/>
  <c r="AD33" i="1"/>
  <c r="AC33" i="1"/>
  <c r="AB33" i="1"/>
  <c r="AA33" i="1"/>
  <c r="Z33" i="1"/>
  <c r="Y33" i="1"/>
  <c r="X33" i="1"/>
  <c r="W33" i="1"/>
  <c r="V33" i="1"/>
  <c r="U33" i="1"/>
  <c r="T33" i="1"/>
  <c r="AG32" i="1"/>
  <c r="AF32" i="1"/>
  <c r="AE32" i="1"/>
  <c r="AD32" i="1"/>
  <c r="AC32" i="1"/>
  <c r="AB32" i="1"/>
  <c r="AA32" i="1"/>
  <c r="Z32" i="1"/>
  <c r="Y32" i="1"/>
  <c r="X32" i="1"/>
  <c r="W32" i="1"/>
  <c r="V32" i="1"/>
  <c r="U32" i="1"/>
  <c r="T32" i="1"/>
  <c r="AG31" i="1"/>
  <c r="AF31" i="1"/>
  <c r="AE31" i="1"/>
  <c r="AD31" i="1"/>
  <c r="AC31" i="1"/>
  <c r="AB31" i="1"/>
  <c r="AA31" i="1"/>
  <c r="Z31" i="1"/>
  <c r="Y31" i="1"/>
  <c r="X31" i="1"/>
  <c r="W31" i="1"/>
  <c r="V31" i="1"/>
  <c r="U31" i="1"/>
  <c r="T31" i="1"/>
  <c r="AG30" i="1"/>
  <c r="AF30" i="1"/>
  <c r="AE30" i="1"/>
  <c r="AD30" i="1"/>
  <c r="AC30" i="1"/>
  <c r="AB30" i="1"/>
  <c r="AA30" i="1"/>
  <c r="Z30" i="1"/>
  <c r="Y30" i="1"/>
  <c r="X30" i="1"/>
  <c r="W30" i="1"/>
  <c r="V30" i="1"/>
  <c r="U30" i="1"/>
  <c r="T30" i="1"/>
  <c r="AG29" i="1"/>
  <c r="AF29" i="1"/>
  <c r="AE29" i="1"/>
  <c r="AD29" i="1"/>
  <c r="AC29" i="1"/>
  <c r="AB29" i="1"/>
  <c r="AA29" i="1"/>
  <c r="Z29" i="1"/>
  <c r="Y29" i="1"/>
  <c r="X29" i="1"/>
  <c r="W29" i="1"/>
  <c r="V29" i="1"/>
  <c r="U29" i="1"/>
  <c r="T29" i="1"/>
  <c r="AG28" i="1"/>
  <c r="AF28" i="1"/>
  <c r="AE28" i="1"/>
  <c r="AD28" i="1"/>
  <c r="AC28" i="1"/>
  <c r="AB28" i="1"/>
  <c r="AA28" i="1"/>
  <c r="Z28" i="1"/>
  <c r="Y28" i="1"/>
  <c r="X28" i="1"/>
  <c r="W28" i="1"/>
  <c r="V28" i="1"/>
  <c r="U28" i="1"/>
  <c r="T28" i="1"/>
  <c r="AG27" i="1"/>
  <c r="AF27" i="1"/>
  <c r="AE27" i="1"/>
  <c r="AD27" i="1"/>
  <c r="AC27" i="1"/>
  <c r="AB27" i="1"/>
  <c r="AA27" i="1"/>
  <c r="Z27" i="1"/>
  <c r="Y27" i="1"/>
  <c r="X27" i="1"/>
  <c r="W27" i="1"/>
  <c r="V27" i="1"/>
  <c r="U27" i="1"/>
  <c r="T27" i="1"/>
  <c r="AG26" i="1"/>
  <c r="AF26" i="1"/>
  <c r="AE26" i="1"/>
  <c r="AD26" i="1"/>
  <c r="AC26" i="1"/>
  <c r="AB26" i="1"/>
  <c r="AA26" i="1"/>
  <c r="Z26" i="1"/>
  <c r="Y26" i="1"/>
  <c r="X26" i="1"/>
  <c r="W26" i="1"/>
  <c r="V26" i="1"/>
  <c r="U26" i="1"/>
  <c r="T26" i="1"/>
  <c r="AG25" i="1"/>
  <c r="AF25" i="1"/>
  <c r="AE25" i="1"/>
  <c r="AD25" i="1"/>
  <c r="AC25" i="1"/>
  <c r="AB25" i="1"/>
  <c r="AA25" i="1"/>
  <c r="Z25" i="1"/>
  <c r="Y25" i="1"/>
  <c r="X25" i="1"/>
  <c r="W25" i="1"/>
  <c r="V25" i="1"/>
  <c r="U25" i="1"/>
  <c r="T25" i="1"/>
  <c r="AG24" i="1"/>
  <c r="AF24" i="1"/>
  <c r="AE24" i="1"/>
  <c r="AD24" i="1"/>
  <c r="AC24" i="1"/>
  <c r="AB24" i="1"/>
  <c r="AA24" i="1"/>
  <c r="Z24" i="1"/>
  <c r="Y24" i="1"/>
  <c r="X24" i="1"/>
  <c r="W24" i="1"/>
  <c r="V24" i="1"/>
  <c r="U24" i="1"/>
  <c r="T24" i="1"/>
  <c r="AG23" i="1"/>
  <c r="AF23" i="1"/>
  <c r="AE23" i="1"/>
  <c r="AD23" i="1"/>
  <c r="AC23" i="1"/>
  <c r="AB23" i="1"/>
  <c r="AA23" i="1"/>
  <c r="Z23" i="1"/>
  <c r="Y23" i="1"/>
  <c r="X23" i="1"/>
  <c r="W23" i="1"/>
  <c r="V23" i="1"/>
  <c r="U23" i="1"/>
  <c r="T23" i="1"/>
  <c r="AG22" i="1"/>
  <c r="AF22" i="1"/>
  <c r="AE22" i="1"/>
  <c r="AD22" i="1"/>
  <c r="AC22" i="1"/>
  <c r="AB22" i="1"/>
  <c r="AA22" i="1"/>
  <c r="Z22" i="1"/>
  <c r="Y22" i="1"/>
  <c r="X22" i="1"/>
  <c r="W22" i="1"/>
  <c r="V22" i="1"/>
  <c r="U22" i="1"/>
  <c r="T22" i="1"/>
  <c r="AG21" i="1"/>
  <c r="AF21" i="1"/>
  <c r="AE21" i="1"/>
  <c r="AD21" i="1"/>
  <c r="AC21" i="1"/>
  <c r="AB21" i="1"/>
  <c r="AA21" i="1"/>
  <c r="Z21" i="1"/>
  <c r="Y21" i="1"/>
  <c r="X21" i="1"/>
  <c r="W21" i="1"/>
  <c r="V21" i="1"/>
  <c r="U21" i="1"/>
  <c r="T21" i="1"/>
  <c r="AG20" i="1"/>
  <c r="AF20" i="1"/>
  <c r="AE20" i="1"/>
  <c r="AD20" i="1"/>
  <c r="AC20" i="1"/>
  <c r="AB20" i="1"/>
  <c r="AA20" i="1"/>
  <c r="Z20" i="1"/>
  <c r="Y20" i="1"/>
  <c r="X20" i="1"/>
  <c r="W20" i="1"/>
  <c r="V20" i="1"/>
  <c r="U20" i="1"/>
  <c r="T20" i="1"/>
  <c r="AG19" i="1"/>
  <c r="AF19" i="1"/>
  <c r="AE19" i="1"/>
  <c r="AD19" i="1"/>
  <c r="AC19" i="1"/>
  <c r="AB19" i="1"/>
  <c r="AA19" i="1"/>
  <c r="Z19" i="1"/>
  <c r="Y19" i="1"/>
  <c r="X19" i="1"/>
  <c r="W19" i="1"/>
  <c r="V19" i="1"/>
  <c r="U19" i="1"/>
  <c r="T19" i="1"/>
  <c r="AG18" i="1"/>
  <c r="AF18" i="1"/>
  <c r="AE18" i="1"/>
  <c r="AD18" i="1"/>
  <c r="AC18" i="1"/>
  <c r="AB18" i="1"/>
  <c r="AA18" i="1"/>
  <c r="Z18" i="1"/>
  <c r="Y18" i="1"/>
  <c r="X18" i="1"/>
  <c r="W18" i="1"/>
  <c r="V18" i="1"/>
  <c r="U18" i="1"/>
  <c r="T18" i="1"/>
  <c r="AG17" i="1"/>
  <c r="AF17" i="1"/>
  <c r="AE17" i="1"/>
  <c r="AD17" i="1"/>
  <c r="AC17" i="1"/>
  <c r="AB17" i="1"/>
  <c r="AA17" i="1"/>
  <c r="Z17" i="1"/>
  <c r="Y17" i="1"/>
  <c r="X17" i="1"/>
  <c r="W17" i="1"/>
  <c r="V17" i="1"/>
  <c r="U17" i="1"/>
  <c r="T17" i="1"/>
  <c r="AG16" i="1"/>
  <c r="AF16" i="1"/>
  <c r="AE16" i="1"/>
  <c r="AD16" i="1"/>
  <c r="AC16" i="1"/>
  <c r="AB16" i="1"/>
  <c r="AA16" i="1"/>
  <c r="Z16" i="1"/>
  <c r="Y16" i="1"/>
  <c r="X16" i="1"/>
  <c r="W16" i="1"/>
  <c r="V16" i="1"/>
  <c r="U16" i="1"/>
  <c r="T16" i="1"/>
  <c r="AG15" i="1"/>
  <c r="AF15" i="1"/>
  <c r="AE15" i="1"/>
  <c r="AD15" i="1"/>
  <c r="AC15" i="1"/>
  <c r="AB15" i="1"/>
  <c r="AA15" i="1"/>
  <c r="Z15" i="1"/>
  <c r="Y15" i="1"/>
  <c r="X15" i="1"/>
  <c r="W15" i="1"/>
  <c r="V15" i="1"/>
  <c r="U15" i="1"/>
  <c r="T15" i="1"/>
  <c r="AG14" i="1"/>
  <c r="AF14" i="1"/>
  <c r="AE14" i="1"/>
  <c r="AD14" i="1"/>
  <c r="AC14" i="1"/>
  <c r="AB14" i="1"/>
  <c r="AA14" i="1"/>
  <c r="Z14" i="1"/>
  <c r="Y14" i="1"/>
  <c r="X14" i="1"/>
  <c r="W14" i="1"/>
  <c r="V14" i="1"/>
  <c r="U14" i="1"/>
  <c r="T14" i="1"/>
  <c r="AG13" i="1"/>
  <c r="AF13" i="1"/>
  <c r="AE13" i="1"/>
  <c r="AD13" i="1"/>
  <c r="AC13" i="1"/>
  <c r="AB13" i="1"/>
  <c r="AA13" i="1"/>
  <c r="Z13" i="1"/>
  <c r="Y13" i="1"/>
  <c r="X13" i="1"/>
  <c r="W13" i="1"/>
  <c r="V13" i="1"/>
  <c r="U13" i="1"/>
  <c r="T13" i="1"/>
  <c r="AG12" i="1"/>
  <c r="AF12" i="1"/>
  <c r="AE12" i="1"/>
  <c r="AD12" i="1"/>
  <c r="AC12" i="1"/>
  <c r="AB12" i="1"/>
  <c r="AA12" i="1"/>
  <c r="Z12" i="1"/>
  <c r="Y12" i="1"/>
  <c r="X12" i="1"/>
  <c r="W12" i="1"/>
  <c r="V12" i="1"/>
  <c r="U12" i="1"/>
  <c r="T12" i="1"/>
  <c r="AG11" i="1"/>
  <c r="AF11" i="1"/>
  <c r="AE11" i="1"/>
  <c r="AD11" i="1"/>
  <c r="AC11" i="1"/>
  <c r="AB11" i="1"/>
  <c r="AA11" i="1"/>
  <c r="Z11" i="1"/>
  <c r="Y11" i="1"/>
  <c r="X11" i="1"/>
  <c r="W11" i="1"/>
  <c r="V11" i="1"/>
  <c r="U11" i="1"/>
  <c r="T11" i="1"/>
  <c r="AG10" i="1"/>
  <c r="AF10" i="1"/>
  <c r="AE10" i="1"/>
  <c r="AD10" i="1"/>
  <c r="AC10" i="1"/>
  <c r="AB10" i="1"/>
  <c r="AA10" i="1"/>
  <c r="Z10" i="1"/>
  <c r="Y10" i="1"/>
  <c r="X10" i="1"/>
  <c r="W10" i="1"/>
  <c r="V10" i="1"/>
  <c r="U10" i="1"/>
  <c r="T10" i="1"/>
  <c r="AG9" i="1"/>
  <c r="AF9" i="1"/>
  <c r="AE9" i="1"/>
  <c r="AD9" i="1"/>
  <c r="AC9" i="1"/>
  <c r="AB9" i="1"/>
  <c r="AA9" i="1"/>
  <c r="Z9" i="1"/>
  <c r="Y9" i="1"/>
  <c r="X9" i="1"/>
  <c r="W9" i="1"/>
  <c r="V9" i="1"/>
  <c r="U9" i="1"/>
  <c r="T9" i="1"/>
  <c r="AG8" i="1"/>
  <c r="AF8" i="1"/>
  <c r="AE8" i="1"/>
  <c r="AD8" i="1"/>
  <c r="AC8" i="1"/>
  <c r="AB8" i="1"/>
  <c r="AA8" i="1"/>
  <c r="Z8" i="1"/>
  <c r="Y8" i="1"/>
  <c r="X8" i="1"/>
  <c r="W8" i="1"/>
  <c r="V8" i="1"/>
  <c r="U8" i="1"/>
  <c r="T8" i="1"/>
  <c r="AG7" i="1"/>
  <c r="AF7" i="1"/>
  <c r="AE7" i="1"/>
  <c r="AD7" i="1"/>
  <c r="AC7" i="1"/>
  <c r="AB7" i="1"/>
  <c r="AA7" i="1"/>
  <c r="Z7" i="1"/>
  <c r="Y7" i="1"/>
  <c r="X7" i="1"/>
  <c r="W7" i="1"/>
  <c r="V7" i="1"/>
  <c r="U7" i="1"/>
  <c r="T7" i="1"/>
  <c r="AG6" i="1"/>
  <c r="AF6" i="1"/>
  <c r="AE6" i="1"/>
  <c r="AD6" i="1"/>
  <c r="AC6" i="1"/>
  <c r="AB6" i="1"/>
  <c r="AA6" i="1"/>
  <c r="Z6" i="1"/>
  <c r="Y6" i="1"/>
  <c r="X6" i="1"/>
  <c r="W6" i="1"/>
  <c r="V6" i="1"/>
  <c r="U6" i="1"/>
  <c r="T6" i="1"/>
  <c r="AG5" i="1"/>
  <c r="AF5" i="1"/>
  <c r="AE5" i="1"/>
  <c r="AD5" i="1"/>
  <c r="AC5" i="1"/>
  <c r="AB5" i="1"/>
  <c r="AA5" i="1"/>
  <c r="Z5" i="1"/>
  <c r="Y5" i="1"/>
  <c r="X5" i="1"/>
  <c r="W5" i="1"/>
  <c r="V5" i="1"/>
  <c r="U5" i="1"/>
  <c r="T5" i="1"/>
  <c r="AG4" i="1"/>
  <c r="AF4" i="1"/>
  <c r="AE4" i="1"/>
  <c r="AD4" i="1"/>
  <c r="AC4" i="1"/>
  <c r="AB4" i="1"/>
  <c r="AA4" i="1"/>
  <c r="Z4" i="1"/>
  <c r="Y4" i="1"/>
  <c r="X4" i="1"/>
  <c r="W4" i="1"/>
  <c r="V4" i="1"/>
  <c r="U4" i="1"/>
  <c r="T4" i="1"/>
  <c r="AG3" i="1"/>
  <c r="AF3" i="1"/>
  <c r="AE3" i="1"/>
  <c r="AD3" i="1"/>
  <c r="AC3" i="1"/>
  <c r="AB3" i="1"/>
  <c r="AA3" i="1"/>
  <c r="Z3" i="1"/>
  <c r="Y3" i="1"/>
  <c r="X3" i="1"/>
  <c r="W3" i="1"/>
  <c r="V3" i="1"/>
  <c r="U3" i="1"/>
  <c r="T3" i="1"/>
  <c r="AG2" i="1"/>
  <c r="AF2" i="1"/>
  <c r="AE2" i="1"/>
  <c r="AD2" i="1"/>
  <c r="AC2" i="1"/>
  <c r="AB2" i="1"/>
  <c r="AA2" i="1"/>
  <c r="Z2" i="1"/>
  <c r="Y2" i="1"/>
  <c r="X2" i="1"/>
  <c r="W2" i="1"/>
  <c r="V2" i="1"/>
  <c r="U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<sst xmlns="http://schemas.openxmlformats.org/spreadsheetml/2006/main" count="2362" uniqueCount="481">
  <si>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</si>
  <si>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</si>
  <si>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</si>
  <si>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</si>
  <si>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</si>
  <si>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</si>
  <si>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</si>
  <si>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</si>
  <si>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</si>
  <si>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</si>
  <si>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</si>
  <si>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</si>
  <si>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</si>
  <si>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</si>
  <si>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</si>
  <si>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</si>
  <si>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</si>
  <si>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</si>
  <si>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</si>
  <si>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</si>
  <si>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</si>
  <si>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</si>
  <si>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</si>
  <si>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</si>
  <si>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</si>
  <si>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</si>
  <si>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</si>
  <si>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</si>
  <si>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</si>
  <si>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</si>
  <si>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</si>
  <si>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</si>
  <si>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</si>
  <si>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</si>
  <si>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</si>
  <si>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</si>
  <si>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</si>
  <si>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</si>
  <si>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</si>
  <si>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</si>
  <si>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</si>
  <si>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</si>
  <si>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</si>
  <si>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</si>
  <si>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</si>
  <si>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</si>
  <si>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</si>
  <si>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</si>
  <si>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</si>
  <si>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</si>
  <si>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</si>
  <si>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</si>
  <si>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</si>
  <si>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</si>
  <si>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</si>
  <si>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</si>
  <si>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</si>
  <si>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</si>
  <si>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</si>
  <si>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</si>
  <si>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</si>
  <si>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</si>
  <si>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</si>
  <si>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</si>
  <si>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</si>
  <si>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</si>
  <si>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</si>
  <si>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</si>
  <si>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</si>
  <si>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</si>
  <si>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</si>
  <si>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</si>
  <si>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</si>
  <si>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</si>
  <si>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</si>
  <si>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</si>
  <si>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</si>
  <si>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</si>
  <si>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</si>
  <si>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</si>
  <si>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</si>
  <si>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</si>
  <si>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</si>
  <si>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</si>
  <si>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</si>
  <si>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</si>
  <si>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</si>
  <si>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</si>
  <si>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</si>
  <si>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</si>
  <si>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</si>
  <si>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</si>
  <si>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</si>
  <si>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</si>
  <si>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</si>
  <si>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</si>
  <si>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</si>
  <si>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</si>
  <si>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</si>
  <si>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</si>
  <si>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</si>
  <si>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</si>
  <si>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</si>
  <si>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</si>
  <si>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</si>
  <si>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</si>
  <si>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</si>
  <si>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</si>
  <si>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</si>
  <si>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</si>
  <si>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</si>
  <si>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</si>
  <si>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</si>
  <si>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</si>
  <si>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</si>
  <si>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</si>
  <si>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</si>
  <si>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</si>
  <si>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</si>
  <si>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</si>
  <si>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</si>
  <si>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</si>
  <si>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</si>
  <si>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</si>
  <si>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</si>
  <si>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</si>
  <si>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</si>
  <si>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</si>
  <si>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</si>
  <si>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</si>
  <si>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</si>
  <si>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</si>
  <si>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</si>
  <si>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</si>
  <si>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</si>
  <si>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</si>
  <si>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</si>
  <si>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</si>
  <si>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</si>
  <si>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</si>
  <si>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</si>
  <si>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</si>
  <si>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</si>
  <si>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</si>
  <si>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</si>
  <si>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</si>
  <si>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</si>
  <si>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</si>
  <si>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</si>
  <si>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</si>
  <si>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</si>
  <si>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</si>
  <si>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</si>
  <si>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</si>
  <si>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</si>
  <si>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</si>
  <si>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</si>
  <si>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</si>
  <si>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</si>
  <si>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</si>
  <si>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</si>
  <si>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</si>
  <si>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</si>
  <si>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</si>
  <si>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</si>
  <si>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</si>
  <si>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</si>
  <si>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</si>
  <si>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</si>
  <si>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</si>
  <si>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</si>
  <si>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</si>
  <si>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</si>
  <si>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</si>
  <si>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</si>
  <si>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</si>
  <si>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</si>
  <si>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</si>
  <si>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</si>
  <si>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</si>
  <si>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</si>
  <si>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</si>
  <si>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</si>
  <si>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</si>
  <si>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</si>
  <si>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</si>
  <si>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</si>
  <si>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</si>
  <si>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</si>
  <si>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</si>
  <si>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</si>
  <si>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</si>
  <si>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</si>
  <si>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</si>
  <si>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</si>
  <si>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</si>
  <si>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</si>
  <si>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</si>
  <si>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</si>
  <si>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</si>
  <si>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</si>
  <si>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</si>
  <si>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</si>
  <si>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</si>
  <si>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</si>
  <si>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</si>
  <si>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</si>
  <si>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</si>
  <si>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</si>
  <si>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</si>
  <si>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</si>
  <si>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</si>
  <si>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</si>
  <si>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</si>
  <si>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</si>
  <si>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</si>
  <si>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</si>
  <si>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</si>
  <si>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</si>
  <si>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</si>
  <si>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</si>
  <si>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</si>
  <si>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</si>
  <si>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</si>
  <si>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</si>
  <si>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</si>
  <si>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</si>
  <si>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</si>
  <si>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</si>
  <si>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</si>
  <si>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</si>
  <si>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</si>
  <si>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</si>
  <si>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</si>
  <si>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</si>
  <si>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</si>
  <si>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</si>
  <si>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</si>
  <si>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</si>
  <si>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</si>
  <si>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</si>
  <si>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</si>
  <si>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</si>
  <si>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</si>
  <si>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</si>
  <si>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</si>
  <si>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</si>
  <si>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</si>
  <si>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</si>
  <si>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</si>
  <si>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</si>
  <si>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</si>
  <si>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</si>
  <si>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</si>
  <si>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</si>
  <si>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</si>
  <si>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</si>
  <si>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</si>
  <si>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</si>
  <si>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</si>
  <si>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</si>
  <si>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</si>
  <si>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</si>
  <si>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</si>
  <si>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</si>
  <si>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</si>
  <si>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</si>
  <si>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</si>
  <si>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</si>
  <si>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</si>
  <si>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</si>
  <si>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</si>
  <si>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</si>
  <si>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</si>
  <si>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</si>
  <si>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</si>
  <si>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</si>
  <si>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</si>
  <si>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</si>
  <si>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</si>
  <si>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</si>
  <si>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</si>
  <si>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</si>
  <si>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</si>
  <si>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</si>
  <si>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</si>
  <si>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</si>
  <si>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</si>
  <si>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</si>
  <si>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</si>
  <si>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</si>
  <si>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</si>
  <si>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</si>
  <si>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</si>
  <si>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</si>
  <si>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</si>
  <si>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</si>
  <si>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</si>
  <si>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</si>
  <si>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</si>
  <si>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</si>
  <si>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</si>
  <si>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</si>
  <si>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</si>
  <si>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</si>
  <si>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</si>
  <si>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</si>
  <si>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</si>
  <si>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</si>
  <si>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</si>
  <si>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</si>
  <si>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</si>
  <si>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</si>
  <si>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</si>
  <si>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</si>
  <si>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</si>
  <si>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</si>
  <si>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</si>
  <si>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</si>
  <si>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</si>
  <si>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</si>
  <si>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</si>
  <si>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</si>
  <si>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</si>
  <si>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</si>
  <si>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</si>
  <si>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</si>
  <si>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</si>
  <si>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</si>
  <si>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</si>
  <si>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</si>
  <si>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</si>
  <si>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</si>
  <si>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</si>
  <si>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</si>
  <si>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</si>
  <si>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</si>
  <si>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</si>
  <si>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</si>
  <si>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</si>
  <si>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</si>
  <si>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</si>
  <si>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</si>
  <si>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</si>
  <si>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</si>
  <si>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</si>
  <si>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</si>
  <si>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</si>
  <si>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</si>
  <si>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</si>
  <si>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</si>
  <si>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</si>
  <si>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</si>
  <si>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</si>
  <si>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</si>
  <si>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</si>
  <si>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</si>
  <si>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</si>
  <si>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</si>
  <si>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</si>
  <si>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</si>
  <si>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</si>
  <si>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</si>
  <si>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</si>
  <si>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</si>
  <si>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</si>
  <si>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</si>
  <si>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</si>
  <si>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</si>
  <si>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</si>
  <si>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</si>
  <si>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</si>
  <si>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</si>
  <si>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</si>
  <si>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</si>
  <si>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</si>
  <si>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</si>
  <si>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</si>
  <si>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</si>
  <si>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</si>
  <si>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</si>
  <si>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</si>
  <si>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</si>
  <si>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</si>
  <si>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</si>
  <si>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</si>
  <si>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</si>
  <si>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</si>
  <si>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</si>
  <si>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</si>
  <si>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</si>
  <si>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</si>
  <si>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</si>
  <si>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</si>
  <si>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</si>
  <si>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</si>
  <si>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</si>
  <si>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</si>
  <si>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</si>
  <si>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Month</t>
  </si>
  <si>
    <t>Year</t>
  </si>
  <si>
    <t>Timestam</t>
  </si>
  <si>
    <t>Customer Sales Analysis Dashboard</t>
  </si>
  <si>
    <t>Total Sales</t>
  </si>
  <si>
    <t>Total Orders</t>
  </si>
  <si>
    <t>Total Customers</t>
  </si>
  <si>
    <t>Best Region</t>
  </si>
  <si>
    <t>Most Sold Product</t>
  </si>
  <si>
    <t>Row Labels</t>
  </si>
  <si>
    <t>Grand Total</t>
  </si>
  <si>
    <t>Sum of Total_Amount</t>
  </si>
  <si>
    <t>Apr</t>
  </si>
  <si>
    <t>Mar</t>
  </si>
  <si>
    <t>Aug</t>
  </si>
  <si>
    <t>May</t>
  </si>
  <si>
    <t>High Value Customers</t>
  </si>
  <si>
    <t>Sales by Region</t>
  </si>
  <si>
    <t>Sales by Category</t>
  </si>
  <si>
    <t>Monthly Sales Trend</t>
  </si>
  <si>
    <t>Jan</t>
  </si>
  <si>
    <t>Feb</t>
  </si>
  <si>
    <t>Jun</t>
  </si>
  <si>
    <t>Jul</t>
  </si>
  <si>
    <t>Sep</t>
  </si>
  <si>
    <t>Oct</t>
  </si>
  <si>
    <t>Nov</t>
  </si>
  <si>
    <t>Dec</t>
  </si>
  <si>
    <t>FILTER Function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</si>
  <si>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</si>
  <si>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</si>
  <si>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</si>
  <si>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</si>
  <si>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</si>
  <si>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</si>
  <si>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</si>
  <si>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</si>
  <si>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</si>
  <si>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</si>
  <si>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</si>
  <si>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</si>
  <si>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</si>
  <si>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</si>
  <si>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</si>
  <si>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</si>
  <si>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</si>
  <si>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</si>
  <si>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</si>
  <si>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</si>
  <si>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</si>
  <si>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</si>
  <si>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</si>
  <si>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</si>
  <si>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</si>
  <si>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Abbreviations</t>
  </si>
  <si>
    <t>1. Dataset Information</t>
  </si>
  <si>
    <t>Total Records: 200+</t>
  </si>
  <si>
    <t>Columns: Transaction_ID, Date, Customer_ID, Product, etc.</t>
  </si>
  <si>
    <t>Time Period: 2024–2025</t>
  </si>
  <si>
    <t>2. Steps</t>
  </si>
  <si>
    <t>Data cleaning (TRIM, remove errors)</t>
  </si>
  <si>
    <t>Table create kiya</t>
  </si>
  <si>
    <t>Formulas apply kiye</t>
  </si>
  <si>
    <t>Pivot Tables banaye</t>
  </si>
  <si>
    <t>Charts create kiye</t>
  </si>
  <si>
    <t>Dashboard design kiya</t>
  </si>
  <si>
    <t xml:space="preserve">3. Dashboard </t>
  </si>
  <si>
    <t>Bar Chart → Sales by Region</t>
  </si>
  <si>
    <t>Pie Chart → Category Distribution</t>
  </si>
  <si>
    <t>Line Chart → Monthly Sales Trend</t>
  </si>
  <si>
    <t>Total Profit</t>
  </si>
  <si>
    <t>Total Customer</t>
  </si>
  <si>
    <t>Top Region</t>
  </si>
  <si>
    <t>Sales Insights</t>
  </si>
  <si>
    <t>Electronics category has highest sales</t>
  </si>
  <si>
    <t>Smartphones and Laptops are top-selling product</t>
  </si>
  <si>
    <t>Region Insights</t>
  </si>
  <si>
    <t>West/North region generates highest revenue</t>
  </si>
  <si>
    <t>Some regions have low performance</t>
  </si>
  <si>
    <t>Payment Insights</t>
  </si>
  <si>
    <t>Credit Card / Cash most used method</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</si>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</sst>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Aptos Narrow"/>
      <family val="2"/>
      <scheme val="minor"/>
    </font>
    <font>
      <sz val="11"/>
      <color theme="1"/>
      <name val="Calibri"/>
      <family val="2"/>
    </font>
    <font>
      <b/>
      <sz val="11"/>
      <color theme="0"/>
      <name val="Calibri"/>
      <family val="2"/>
    </font>
    <font>
      <sz val="18"/>
      <color theme="1"/>
      <name val="Aptos Narrow"/>
      <family val="2"/>
      <scheme val="minor"/>
    </font>
    <font>
      <i/>
      <sz val="11"/>
      <color theme="1"/>
      <name val="Aptos Narrow"/>
      <family val="2"/>
      <scheme val="minor"/>
    </font>
  </fonts>
  <fills count="8">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bgColor theme="4" tint="0.79998168889431442"/>
      </patternFill>
    </fill>
  </fills>
  <borders count="16">
    <border>
      <left/>
      <right/>
      <top/>
      <bottom/>
      <diagonal/>
    </border>
    <border>
      <left style="medium">
        <color rgb="FFCCCCCC"/>
      </left>
      <right/>
      <top style="medium">
        <color rgb="FFCCCCCC"/>
      </top>
      <bottom style="medium">
        <color rgb="FFCCCCCC"/>
      </bottom>
      <diagonal/>
    </border>
    <border>
      <left style="medium">
        <color rgb="FFCCCCCC"/>
      </left>
      <right/>
      <top style="medium">
        <color rgb="FFCCCCCC"/>
      </top>
      <bottom/>
      <diagonal/>
    </border>
    <border>
      <left/>
      <right/>
      <top style="medium">
        <color rgb="FFCCCCCC"/>
      </top>
      <bottom/>
      <diagonal/>
    </border>
    <border>
      <left style="medium">
        <color rgb="FFCCCCCC"/>
      </left>
      <right/>
      <top/>
      <bottom/>
      <diagonal/>
    </border>
    <border>
      <left style="medium">
        <color rgb="FFCCCCCC"/>
      </left>
      <right/>
      <top style="thin">
        <color theme="4" tint="0.39997558519241921"/>
      </top>
      <bottom style="medium">
        <color rgb="FFCCCCCC"/>
      </bottom>
      <diagonal/>
    </border>
    <border>
      <left/>
      <right style="medium">
        <color rgb="FFCCCCCC"/>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style="medium">
        <color rgb="FFCCCCCC"/>
      </bottom>
      <diagonal/>
    </border>
    <border>
      <left style="medium">
        <color rgb="FFCCCCCC"/>
      </left>
      <right/>
      <top style="thin">
        <color theme="4" tint="0.39997558519241921"/>
      </top>
      <bottom/>
      <diagonal/>
    </border>
    <border>
      <left/>
      <right/>
      <top style="thin">
        <color theme="4" tint="0.39997558519241921"/>
      </top>
      <bottom/>
      <diagonal/>
    </border>
    <border>
      <left/>
      <right style="medium">
        <color rgb="FFCCCCCC"/>
      </right>
      <top style="thin">
        <color theme="4" tint="0.39997558519241921"/>
      </top>
      <bottom/>
      <diagonal/>
    </border>
    <border>
      <left/>
      <right/>
      <top style="medium">
        <color rgb="FFCCCCCC"/>
      </top>
      <bottom style="medium">
        <color rgb="FFCCCCCC"/>
      </bottom>
      <diagonal/>
    </border>
    <border>
      <left/>
      <right/>
      <top style="medium">
        <color rgb="FFCCCCCC"/>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4">
    <xf numFmtId="0" fontId="0" fillId="0" borderId="0" xfId="0"/>
    <xf numFmtId="0" fontId="1" fillId="0" borderId="1" xfId="0" applyFont="1" applyBorder="1" applyAlignment="1">
      <alignment horizontal="right" wrapText="1"/>
    </xf>
    <xf numFmtId="0" fontId="1" fillId="0" borderId="2" xfId="0" applyFont="1" applyBorder="1" applyAlignment="1">
      <alignment horizontal="right" wrapText="1"/>
    </xf>
    <xf numFmtId="0" fontId="1" fillId="3" borderId="2" xfId="0" applyFont="1" applyFill="1" applyBorder="1" applyAlignment="1">
      <alignment wrapText="1"/>
    </xf>
    <xf numFmtId="14" fontId="1" fillId="3" borderId="2" xfId="0" applyNumberFormat="1" applyFont="1" applyFill="1" applyBorder="1" applyAlignment="1">
      <alignment horizontal="right" wrapText="1"/>
    </xf>
    <xf numFmtId="0" fontId="1" fillId="3" borderId="2" xfId="0" applyFont="1" applyFill="1" applyBorder="1" applyAlignment="1">
      <alignment horizontal="right" wrapText="1"/>
    </xf>
    <xf numFmtId="22" fontId="1" fillId="3" borderId="3" xfId="0" applyNumberFormat="1" applyFont="1" applyFill="1" applyBorder="1" applyAlignment="1">
      <alignment wrapText="1"/>
    </xf>
    <xf numFmtId="0" fontId="1" fillId="0" borderId="2" xfId="0" applyFont="1" applyBorder="1" applyAlignment="1">
      <alignment wrapText="1"/>
    </xf>
    <xf numFmtId="14" fontId="1" fillId="0" borderId="2" xfId="0" applyNumberFormat="1" applyFont="1" applyBorder="1" applyAlignment="1">
      <alignment horizontal="right" wrapText="1"/>
    </xf>
    <xf numFmtId="0" fontId="1" fillId="0" borderId="9" xfId="0" applyFont="1" applyBorder="1" applyAlignment="1">
      <alignment wrapText="1"/>
    </xf>
    <xf numFmtId="22" fontId="1" fillId="0" borderId="10" xfId="0" applyNumberFormat="1" applyFont="1" applyBorder="1" applyAlignment="1">
      <alignment wrapText="1"/>
    </xf>
    <xf numFmtId="0" fontId="1" fillId="3" borderId="9" xfId="0" applyFont="1" applyFill="1" applyBorder="1" applyAlignment="1">
      <alignment wrapText="1"/>
    </xf>
    <xf numFmtId="22" fontId="1" fillId="3" borderId="10" xfId="0" applyNumberFormat="1" applyFont="1" applyFill="1" applyBorder="1" applyAlignment="1">
      <alignment wrapText="1"/>
    </xf>
    <xf numFmtId="0" fontId="1" fillId="0" borderId="1" xfId="0" applyFont="1" applyBorder="1" applyAlignment="1">
      <alignment wrapText="1"/>
    </xf>
    <xf numFmtId="14" fontId="1" fillId="0" borderId="1" xfId="0" applyNumberFormat="1" applyFont="1" applyBorder="1" applyAlignment="1">
      <alignment horizontal="right" wrapText="1"/>
    </xf>
    <xf numFmtId="0" fontId="1" fillId="0" borderId="5" xfId="0" applyFont="1" applyBorder="1" applyAlignment="1">
      <alignment wrapText="1"/>
    </xf>
    <xf numFmtId="22" fontId="1" fillId="0" borderId="8" xfId="0" applyNumberFormat="1" applyFont="1" applyBorder="1" applyAlignment="1">
      <alignment wrapText="1"/>
    </xf>
    <xf numFmtId="0" fontId="0" fillId="0" borderId="0" xfId="0" pivotButton="1"/>
    <xf numFmtId="0" fontId="0" fillId="0" borderId="0" xfId="0" applyAlignment="1">
      <alignment horizontal="left"/>
    </xf>
    <xf numFmtId="0" fontId="1" fillId="3" borderId="3" xfId="0" applyFont="1" applyFill="1" applyBorder="1" applyAlignment="1">
      <alignment wrapText="1"/>
    </xf>
    <xf numFmtId="0" fontId="1" fillId="0" borderId="10" xfId="0" applyFont="1" applyBorder="1" applyAlignment="1">
      <alignment wrapText="1"/>
    </xf>
    <xf numFmtId="0" fontId="1" fillId="3" borderId="10" xfId="0" applyFont="1" applyFill="1" applyBorder="1" applyAlignment="1">
      <alignment wrapText="1"/>
    </xf>
    <xf numFmtId="0" fontId="1" fillId="0" borderId="3" xfId="0" applyFont="1" applyBorder="1" applyAlignment="1">
      <alignment wrapText="1"/>
    </xf>
    <xf numFmtId="0" fontId="1" fillId="0" borderId="12" xfId="0" applyFont="1" applyBorder="1" applyAlignment="1">
      <alignment wrapText="1"/>
    </xf>
    <xf numFmtId="0" fontId="2" fillId="2" borderId="0" xfId="0" applyFont="1" applyFill="1" applyAlignment="1">
      <alignment wrapText="1"/>
    </xf>
    <xf numFmtId="0" fontId="2" fillId="2" borderId="4" xfId="0" applyFont="1" applyFill="1" applyBorder="1" applyAlignment="1">
      <alignment wrapText="1"/>
    </xf>
    <xf numFmtId="0" fontId="0" fillId="3" borderId="11" xfId="0" applyFill="1" applyBorder="1"/>
    <xf numFmtId="0" fontId="0" fillId="0" borderId="11" xfId="0" applyBorder="1"/>
    <xf numFmtId="0" fontId="1" fillId="0" borderId="7" xfId="0" applyFont="1" applyBorder="1" applyAlignment="1">
      <alignment wrapText="1"/>
    </xf>
    <xf numFmtId="0" fontId="0" fillId="0" borderId="6" xfId="0" applyBorder="1"/>
    <xf numFmtId="0" fontId="0" fillId="5" borderId="0" xfId="0" applyFill="1"/>
    <xf numFmtId="0" fontId="0" fillId="4" borderId="0" xfId="0" applyFill="1"/>
    <xf numFmtId="0" fontId="4" fillId="5" borderId="15" xfId="0" applyFont="1" applyFill="1" applyBorder="1" applyAlignment="1">
      <alignment horizontal="centerContinuous"/>
    </xf>
    <xf numFmtId="0" fontId="0" fillId="5" borderId="14" xfId="0" applyFill="1" applyBorder="1"/>
    <xf numFmtId="0" fontId="4" fillId="5" borderId="15" xfId="0" applyFont="1" applyFill="1" applyBorder="1" applyAlignment="1">
      <alignment horizontal="center"/>
    </xf>
    <xf numFmtId="0" fontId="0" fillId="6" borderId="0" xfId="0" applyFill="1"/>
    <xf numFmtId="0" fontId="1" fillId="7" borderId="3" xfId="0" applyFont="1" applyFill="1" applyBorder="1" applyAlignment="1">
      <alignment wrapText="1"/>
    </xf>
    <xf numFmtId="0" fontId="1" fillId="7" borderId="13" xfId="0" applyFont="1" applyFill="1" applyBorder="1" applyAlignment="1">
      <alignment wrapText="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3" fillId="4" borderId="0" xfId="0" applyFont="1" applyFill="1" applyAlignment="1">
      <alignment horizontal="center" vertical="center"/>
    </xf>
  </cellXfs>
  <cellStyles count="1">
    <cellStyle name="Normal" xfId="0" builtinId="0"/>
  </cellStyles>
  <dxfs count="21">
    <dxf>
      <font>
        <b val="0"/>
        <i val="0"/>
        <strike val="0"/>
        <condense val="0"/>
        <extend val="0"/>
        <outline val="0"/>
        <shadow val="0"/>
        <u val="none"/>
        <vertAlign val="baseline"/>
        <sz val="11"/>
        <color theme="1"/>
        <name val="Calibri"/>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numFmt numFmtId="164" formatCode="dd/mm/yyyy\ hh:mm"/>
      <alignment horizontal="general" vertical="bottom"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fill>
        <patternFill patternType="solid">
          <fgColor theme="4" tint="0.79998168889431442"/>
          <bgColor theme="4" tint="0.79998168889431442"/>
        </patternFill>
      </fill>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numFmt numFmtId="165" formatCode="dd/mm/yyyy"/>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numFmt numFmtId="165" formatCode="dd/mm/yyyy"/>
      <alignment horizontal="right" vertical="bottom"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right/>
        <top style="medium">
          <color rgb="FFCCCCCC"/>
        </top>
        <bottom/>
        <vertical/>
        <horizontal/>
      </border>
    </dxf>
    <dxf>
      <border outline="0">
        <left style="medium">
          <color rgb="FFCCCCCC"/>
        </left>
        <top style="medium">
          <color rgb="FFCCCCCC"/>
        </top>
      </border>
    </dxf>
    <dxf>
      <font>
        <b/>
        <i val="0"/>
        <strike val="0"/>
        <condense val="0"/>
        <extend val="0"/>
        <outline val="0"/>
        <shadow val="0"/>
        <u val="none"/>
        <vertAlign val="baseline"/>
        <sz val="11"/>
        <color theme="0"/>
        <name val="Calibri"/>
        <scheme val="none"/>
      </font>
      <fill>
        <patternFill patternType="solid">
          <fgColor theme="4"/>
          <bgColor theme="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BDE4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projectt prerita.xlsx]Pivot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p>
        </c:rich>
      </c:tx>
      <c:layout>
        <c:manualLayout>
          <c:xMode val="edge"/>
          <c:yMode val="edge"/>
          <c:x val="0.38395822397200358"/>
          <c:y val="7.3053368328958895E-2"/>
        </c:manualLayout>
      </c:layout>
      <c:overlay val="0"/>
      <c:spPr>
        <a:noFill/>
        <a:ln>
          <a:noFill/>
        </a:ln>
        <a:effectLst/>
      </c:spPr>
    </c:title>
    <c:autoTitleDeleted val="0"/>
    <c:pivotFmts>
      <c:pivotFmt>
        <c:idx val="0"/>
        <c:spPr>
          <a:solidFill>
            <a:schemeClr val="accent4"/>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4"/>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4"/>
          </a:solidFill>
          <a:ln>
            <a:noFill/>
          </a:ln>
          <a:effectLst/>
        </c:spPr>
        <c:marker>
          <c:symbol val="none"/>
        </c:marker>
      </c:pivotFmt>
    </c:pivotFmts>
    <c:plotArea>
      <c:layout/>
      <c:barChart>
        <c:barDir val="bar"/>
        <c:grouping val="clustered"/>
        <c:varyColors val="0"/>
        <c:ser>
          <c:idx val="0"/>
          <c:order val="0"/>
          <c:tx>
            <c:strRef>
              <c:f>'Pivot Tables'!$B$3</c:f>
              <c:strCache>
                <c:ptCount val="1"/>
                <c:pt idx="0">
                  <c:v>Total</c:v>
                </c:pt>
              </c:strCache>
            </c:strRef>
          </c:tx>
          <c:spPr>
            <a:solidFill>
              <a:schemeClr val="accent4"/>
            </a:solidFill>
            <a:ln>
              <a:noFill/>
            </a:ln>
            <a:effectLst/>
          </c:spPr>
          <c:invertIfNegative val="0"/>
          <c:cat>
            <c:strRef>
              <c:f>'Pivot Tables'!$A$4:$A$9</c:f>
              <c:strCache>
                <c:ptCount val="5"/>
                <c:pt idx="0">
                  <c:v>Central</c:v>
                </c:pt>
                <c:pt idx="1">
                  <c:v>East</c:v>
                </c:pt>
                <c:pt idx="2">
                  <c:v>North</c:v>
                </c:pt>
                <c:pt idx="3">
                  <c:v>South</c:v>
                </c:pt>
                <c:pt idx="4">
                  <c:v>West</c:v>
                </c:pt>
              </c:strCache>
            </c:strRef>
          </c:cat>
          <c:val>
            <c:numRef>
              <c:f>'Pivot Tables'!$B$4:$B$9</c:f>
              <c:numCache>
                <c:formatCode>General</c:formatCode>
                <c:ptCount val="5"/>
                <c:pt idx="0">
                  <c:v>41288.340000000018</c:v>
                </c:pt>
                <c:pt idx="1">
                  <c:v>59288.389999999992</c:v>
                </c:pt>
                <c:pt idx="2">
                  <c:v>50808.310000000012</c:v>
                </c:pt>
                <c:pt idx="3">
                  <c:v>36398.750000000007</c:v>
                </c:pt>
                <c:pt idx="4">
                  <c:v>41408.680000000015</c:v>
                </c:pt>
              </c:numCache>
            </c:numRef>
          </c:val>
          <c:extLst xmlns:c16r2="http://schemas.microsoft.com/office/drawing/2015/06/chart">
            <c:ext xmlns:c16="http://schemas.microsoft.com/office/drawing/2014/chart" uri="{C3380CC4-5D6E-409C-BE32-E72D297353CC}">
              <c16:uniqueId val="{00000000-96A8-4312-85D3-C527934BCFEC}"/>
            </c:ext>
          </c:extLst>
        </c:ser>
        <c:dLbls>
          <c:showLegendKey val="0"/>
          <c:showVal val="0"/>
          <c:showCatName val="0"/>
          <c:showSerName val="0"/>
          <c:showPercent val="0"/>
          <c:showBubbleSize val="0"/>
        </c:dLbls>
        <c:gapWidth val="182"/>
        <c:axId val="208246272"/>
        <c:axId val="208247808"/>
      </c:barChart>
      <c:catAx>
        <c:axId val="20824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7808"/>
        <c:crosses val="autoZero"/>
        <c:auto val="1"/>
        <c:lblAlgn val="ctr"/>
        <c:lblOffset val="100"/>
        <c:noMultiLvlLbl val="0"/>
      </c:catAx>
      <c:valAx>
        <c:axId val="208247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6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a:gsLst>
        <a:gs pos="21000">
          <a:schemeClr val="accent1">
            <a:lumMod val="5000"/>
            <a:lumOff val="95000"/>
          </a:schemeClr>
        </a:gs>
        <a:gs pos="65000">
          <a:schemeClr val="accent1">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projectt prerita.xlsx]Pivot Tables!PivotTable5</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Category Share</a:t>
            </a:r>
          </a:p>
        </c:rich>
      </c:tx>
      <c:layout>
        <c:manualLayout>
          <c:xMode val="edge"/>
          <c:yMode val="edge"/>
          <c:x val="0.36004155730533682"/>
          <c:y val="4.9905220180810735E-2"/>
        </c:manualLayout>
      </c:layout>
      <c:overlay val="0"/>
      <c:spPr>
        <a:noFill/>
        <a:ln>
          <a:noFill/>
        </a:ln>
        <a:effectLst/>
      </c:spPr>
    </c:title>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pivotFmt>
      <c:pivotFmt>
        <c:idx val="3"/>
      </c:pivotFmt>
      <c:pivotFmt>
        <c:idx val="4"/>
      </c:pivotFmt>
      <c:pivotFmt>
        <c:idx val="5"/>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6"/>
        <c:spPr>
          <a:solidFill>
            <a:schemeClr val="accent4">
              <a:tint val="65000"/>
            </a:schemeClr>
          </a:solidFill>
          <a:ln>
            <a:noFill/>
          </a:ln>
          <a:effectLst>
            <a:outerShdw blurRad="317500" algn="ctr" rotWithShape="0">
              <a:prstClr val="black">
                <a:alpha val="25000"/>
              </a:prstClr>
            </a:outerShdw>
          </a:effectLst>
        </c:spPr>
      </c:pivotFmt>
      <c:pivotFmt>
        <c:idx val="7"/>
        <c:spPr>
          <a:solidFill>
            <a:schemeClr val="accent4"/>
          </a:solidFill>
          <a:ln>
            <a:noFill/>
          </a:ln>
          <a:effectLst>
            <a:outerShdw blurRad="317500" algn="ctr" rotWithShape="0">
              <a:prstClr val="black">
                <a:alpha val="25000"/>
              </a:prstClr>
            </a:outerShdw>
          </a:effectLst>
        </c:spPr>
      </c:pivotFmt>
      <c:pivotFmt>
        <c:idx val="8"/>
        <c:spPr>
          <a:solidFill>
            <a:schemeClr val="accent4">
              <a:shade val="65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Tables'!$B$13</c:f>
              <c:strCache>
                <c:ptCount val="1"/>
                <c:pt idx="0">
                  <c:v>Total</c:v>
                </c:pt>
              </c:strCache>
            </c:strRef>
          </c:tx>
          <c:dPt>
            <c:idx val="0"/>
            <c:bubble3D val="0"/>
            <c:spPr>
              <a:solidFill>
                <a:schemeClr val="accent4">
                  <a:tint val="65000"/>
                </a:schemeClr>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1-22CA-4D23-BAB4-C749EB15F0F6}"/>
              </c:ext>
            </c:extLst>
          </c:dPt>
          <c:dPt>
            <c:idx val="1"/>
            <c:bubble3D val="0"/>
            <c:spPr>
              <a:solidFill>
                <a:schemeClr val="accent4"/>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3-22CA-4D23-BAB4-C749EB15F0F6}"/>
              </c:ext>
            </c:extLst>
          </c:dPt>
          <c:dPt>
            <c:idx val="2"/>
            <c:bubble3D val="0"/>
            <c:spPr>
              <a:solidFill>
                <a:schemeClr val="accent4">
                  <a:shade val="65000"/>
                </a:schemeClr>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5-22CA-4D23-BAB4-C749EB15F0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dLbls>
          <c:cat>
            <c:strRef>
              <c:f>'Pivot Tables'!$A$14:$A$17</c:f>
              <c:strCache>
                <c:ptCount val="3"/>
                <c:pt idx="0">
                  <c:v>Appliances</c:v>
                </c:pt>
                <c:pt idx="1">
                  <c:v>Electronics</c:v>
                </c:pt>
                <c:pt idx="2">
                  <c:v>Furniture</c:v>
                </c:pt>
              </c:strCache>
            </c:strRef>
          </c:cat>
          <c:val>
            <c:numRef>
              <c:f>'Pivot Tables'!$B$14:$B$17</c:f>
              <c:numCache>
                <c:formatCode>General</c:formatCode>
                <c:ptCount val="3"/>
                <c:pt idx="0">
                  <c:v>8338.7399999999961</c:v>
                </c:pt>
                <c:pt idx="1">
                  <c:v>171756.05000000013</c:v>
                </c:pt>
                <c:pt idx="2">
                  <c:v>49097.680000000015</c:v>
                </c:pt>
              </c:numCache>
            </c:numRef>
          </c:val>
          <c:extLst xmlns:c16r2="http://schemas.microsoft.com/office/drawing/2015/06/chart">
            <c:ext xmlns:c16="http://schemas.microsoft.com/office/drawing/2014/chart" uri="{C3380CC4-5D6E-409C-BE32-E72D297353CC}">
              <c16:uniqueId val="{00000006-22CA-4D23-BAB4-C749EB15F0F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a:gsLst>
        <a:gs pos="21000">
          <a:schemeClr val="accent1">
            <a:lumMod val="5000"/>
            <a:lumOff val="95000"/>
          </a:schemeClr>
        </a:gs>
        <a:gs pos="65000">
          <a:schemeClr val="accent1">
            <a:lumMod val="40000"/>
            <a:lumOff val="6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projectt prerita.xlsx]Pivot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a:t>
            </a:r>
            <a:r>
              <a:rPr lang="en-US"/>
              <a:t>otal</a:t>
            </a:r>
          </a:p>
        </c:rich>
      </c:tx>
      <c:layout>
        <c:manualLayout>
          <c:xMode val="edge"/>
          <c:yMode val="edge"/>
          <c:x val="0.37982633420822398"/>
          <c:y val="4.9905220180810735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Tables'!$B$21</c:f>
              <c:strCache>
                <c:ptCount val="1"/>
                <c:pt idx="0">
                  <c:v>Total</c:v>
                </c:pt>
              </c:strCache>
            </c:strRef>
          </c:tx>
          <c:spPr>
            <a:ln w="28575" cap="rnd">
              <a:solidFill>
                <a:schemeClr val="accent1"/>
              </a:solidFill>
              <a:round/>
            </a:ln>
            <a:effectLst/>
          </c:spPr>
          <c:marker>
            <c:symbol val="none"/>
          </c:marker>
          <c:cat>
            <c:strRef>
              <c:f>'Pivot Tables'!$A$22:$A$34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Tables'!$B$22:$B$34</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xmlns:c16r2="http://schemas.microsoft.com/office/drawing/2015/06/chart">
            <c:ext xmlns:c16="http://schemas.microsoft.com/office/drawing/2014/chart" uri="{C3380CC4-5D6E-409C-BE32-E72D297353CC}">
              <c16:uniqueId val="{00000000-D80F-4CC7-AAEC-08AF21FAA765}"/>
            </c:ext>
          </c:extLst>
        </c:ser>
        <c:dLbls>
          <c:showLegendKey val="0"/>
          <c:showVal val="0"/>
          <c:showCatName val="0"/>
          <c:showSerName val="0"/>
          <c:showPercent val="0"/>
          <c:showBubbleSize val="0"/>
        </c:dLbls>
        <c:marker val="1"/>
        <c:smooth val="0"/>
        <c:axId val="208288768"/>
        <c:axId val="208306944"/>
      </c:lineChart>
      <c:catAx>
        <c:axId val="20828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06944"/>
        <c:crosses val="autoZero"/>
        <c:auto val="1"/>
        <c:lblAlgn val="ctr"/>
        <c:lblOffset val="100"/>
        <c:noMultiLvlLbl val="0"/>
      </c:catAx>
      <c:valAx>
        <c:axId val="20830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88768"/>
        <c:crosses val="autoZero"/>
        <c:crossBetween val="between"/>
      </c:valAx>
      <c:spPr>
        <a:gradFill>
          <a:gsLst>
            <a:gs pos="21000">
              <a:schemeClr val="accent1">
                <a:lumMod val="5000"/>
                <a:lumOff val="95000"/>
              </a:schemeClr>
            </a:gs>
            <a:gs pos="65000">
              <a:schemeClr val="accent1">
                <a:lumMod val="40000"/>
                <a:lumOff val="60000"/>
              </a:schemeClr>
            </a:gs>
          </a:gsLst>
          <a:lin ang="5400000" scaled="1"/>
        </a:gra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a:gsLst>
        <a:gs pos="21000">
          <a:schemeClr val="accent1">
            <a:lumMod val="5000"/>
            <a:lumOff val="95000"/>
          </a:schemeClr>
        </a:gs>
        <a:gs pos="65000">
          <a:schemeClr val="accent1">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112568</xdr:colOff>
      <xdr:row>10</xdr:row>
      <xdr:rowOff>5195</xdr:rowOff>
    </xdr:from>
    <xdr:to>
      <xdr:col>7</xdr:col>
      <xdr:colOff>417368</xdr:colOff>
      <xdr:row>25</xdr:row>
      <xdr:rowOff>5195</xdr:rowOff>
    </xdr:to>
    <xdr:graphicFrame macro="">
      <xdr:nvGraphicFramePr>
        <xdr:cNvPr id="2" name="Chart 1">
          <a:extLst>
            <a:ext uri="{FF2B5EF4-FFF2-40B4-BE49-F238E27FC236}">
              <a16:creationId xmlns:a16="http://schemas.microsoft.com/office/drawing/2014/main" xmlns="" id="{3378FD0F-5B9B-48E4-A227-8EBC59129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9</xdr:row>
      <xdr:rowOff>167640</xdr:rowOff>
    </xdr:from>
    <xdr:to>
      <xdr:col>15</xdr:col>
      <xdr:colOff>304800</xdr:colOff>
      <xdr:row>24</xdr:row>
      <xdr:rowOff>167640</xdr:rowOff>
    </xdr:to>
    <xdr:graphicFrame macro="">
      <xdr:nvGraphicFramePr>
        <xdr:cNvPr id="3" name="Chart 2">
          <a:extLst>
            <a:ext uri="{FF2B5EF4-FFF2-40B4-BE49-F238E27FC236}">
              <a16:creationId xmlns:a16="http://schemas.microsoft.com/office/drawing/2014/main" xmlns="" id="{B0E4E4B5-DF31-43DA-A782-504C28165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2078</xdr:colOff>
      <xdr:row>10</xdr:row>
      <xdr:rowOff>2078</xdr:rowOff>
    </xdr:from>
    <xdr:to>
      <xdr:col>23</xdr:col>
      <xdr:colOff>303415</xdr:colOff>
      <xdr:row>25</xdr:row>
      <xdr:rowOff>2078</xdr:rowOff>
    </xdr:to>
    <xdr:graphicFrame macro="">
      <xdr:nvGraphicFramePr>
        <xdr:cNvPr id="4" name="Chart 3">
          <a:extLst>
            <a:ext uri="{FF2B5EF4-FFF2-40B4-BE49-F238E27FC236}">
              <a16:creationId xmlns:a16="http://schemas.microsoft.com/office/drawing/2014/main" xmlns="" id="{3A187A48-4674-4B59-BF96-1EFF598F2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419100</xdr:colOff>
      <xdr:row>25</xdr:row>
      <xdr:rowOff>1</xdr:rowOff>
    </xdr:from>
    <xdr:to>
      <xdr:col>4</xdr:col>
      <xdr:colOff>419100</xdr:colOff>
      <xdr:row>32</xdr:row>
      <xdr:rowOff>15240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xmlns="" id="{86BF86FA-9044-0F5F-7842-99FCF3915F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8700" y="4686301"/>
              <a:ext cx="182880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434340</xdr:colOff>
      <xdr:row>25</xdr:row>
      <xdr:rowOff>22861</xdr:rowOff>
    </xdr:from>
    <xdr:to>
      <xdr:col>12</xdr:col>
      <xdr:colOff>434340</xdr:colOff>
      <xdr:row>31</xdr:row>
      <xdr:rowOff>99061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xmlns="" id="{7EE51F75-EBFD-EA3D-3F38-CFF2345DDB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920740" y="470916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297180</xdr:colOff>
      <xdr:row>25</xdr:row>
      <xdr:rowOff>15241</xdr:rowOff>
    </xdr:from>
    <xdr:to>
      <xdr:col>21</xdr:col>
      <xdr:colOff>297180</xdr:colOff>
      <xdr:row>31</xdr:row>
      <xdr:rowOff>129541</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xmlns="" id="{CF31F5A7-8A06-F63D-5502-9C9FF88B7FC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269980" y="470154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03.514844328703" createdVersion="8" refreshedVersion="8" minRefreshableVersion="3" recordCount="250">
  <cacheSource type="worksheet">
    <worksheetSource ref="A1:S251" sheet="Data"/>
  </cacheSource>
  <cacheFields count="19">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 numFmtId="0">
      <sharedItems count="12">
        <s v="Apr"/>
        <s v="May"/>
        <s v="Jun"/>
        <s v="Jul"/>
        <s v="Aug"/>
        <s v="Sep"/>
        <s v="Oct"/>
        <s v="Nov"/>
        <s v="Dec"/>
        <s v="Jan"/>
        <s v="Feb"/>
        <s v="Mar"/>
      </sharedItems>
    </cacheField>
    <cacheField name="Year" numFmtId="0">
      <sharedItems containsSemiMixedTypes="0" containsString="0" containsNumber="1" containsInteger="1" minValue="2024" maxValue="2025"/>
    </cacheField>
    <cacheField name="Timestam" numFmtId="22">
      <sharedItems containsSemiMixedTypes="0" containsNonDate="0" containsDate="1" containsString="0" minDate="2026-03-22T12:21:03" maxDate="2026-03-22T12:21:03"/>
    </cacheField>
    <cacheField name="Most Sold Product" numFmtId="0">
      <sharedItems containsBlank="1"/>
    </cacheField>
    <cacheField name="High Value Customers" numFmtId="0">
      <sharedItems/>
    </cacheField>
  </cacheFields>
  <extLst>
    <ext xmlns:x14="http://schemas.microsoft.com/office/spreadsheetml/2009/9/main" uri="{725AE2AE-9491-48be-B2B4-4EB974FC3084}">
      <x14:pivotCacheDefinition pivotCacheId="19648892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s v="Monitor"/>
    <x v="0"/>
    <n v="3"/>
    <n v="249.99"/>
    <s v="Cash"/>
    <x v="0"/>
    <s v="Basic"/>
    <d v="2021-08-17T00:00:00"/>
    <n v="749.97"/>
    <x v="0"/>
    <n v="2024"/>
    <d v="2026-03-22T12:21:03"/>
    <s v="Bookshelf"/>
    <s v="Normal"/>
  </r>
  <r>
    <s v="TRX0023"/>
    <d v="2024-04-14T00:00:00"/>
    <s v="CUST013"/>
    <s v="Joseph Jackson"/>
    <s v="P009"/>
    <s v="Monitor"/>
    <x v="0"/>
    <n v="3"/>
    <n v="249.99"/>
    <s v="Credit Card"/>
    <x v="0"/>
    <s v="Premium"/>
    <d v="2022-01-14T00:00:00"/>
    <n v="749.97"/>
    <x v="0"/>
    <n v="2024"/>
    <d v="2026-03-22T12:21:03"/>
    <s v="Bookshelf"/>
    <s v="Normal"/>
  </r>
  <r>
    <s v="TRX0139"/>
    <d v="2024-04-17T00:00:00"/>
    <s v="CUST021"/>
    <s v="Kevin Scott"/>
    <s v="P005"/>
    <s v="Blender"/>
    <x v="1"/>
    <n v="3"/>
    <n v="59.99"/>
    <s v="PayPal"/>
    <x v="1"/>
    <s v="Standard"/>
    <d v="2023-12-02T00:00:00"/>
    <n v="179.97"/>
    <x v="0"/>
    <n v="2024"/>
    <d v="2026-03-22T12:21:03"/>
    <s v="Bookshelf"/>
    <s v="Normal"/>
  </r>
  <r>
    <s v="TRX0043"/>
    <d v="2024-04-18T00:00:00"/>
    <s v="CUST046"/>
    <s v="Kathleen Bennett"/>
    <s v="P005"/>
    <s v="Blender"/>
    <x v="1"/>
    <n v="3"/>
    <n v="59.99"/>
    <s v="Cash"/>
    <x v="2"/>
    <s v="Premium"/>
    <d v="2023-07-07T00:00:00"/>
    <n v="179.97"/>
    <x v="0"/>
    <n v="2024"/>
    <d v="2026-03-22T12:21:03"/>
    <s v="Bookshelf"/>
    <s v="Normal"/>
  </r>
  <r>
    <s v="TRX0212"/>
    <d v="2024-04-18T00:00:00"/>
    <s v="CUST003"/>
    <s v="Michael Brown"/>
    <s v="P008"/>
    <s v="Bookshelf"/>
    <x v="2"/>
    <n v="5"/>
    <n v="149.99"/>
    <s v="Credit Card"/>
    <x v="2"/>
    <s v="Premium"/>
    <d v="2024-01-04T00:00:00"/>
    <n v="749.95"/>
    <x v="0"/>
    <n v="2024"/>
    <d v="2026-03-22T12:21:03"/>
    <s v="Bookshelf"/>
    <s v="Normal"/>
  </r>
  <r>
    <s v="TRX0092"/>
    <d v="2024-04-21T00:00:00"/>
    <s v="CUST024"/>
    <s v="Dorothy Nelson"/>
    <s v="P005"/>
    <s v="Blender"/>
    <x v="1"/>
    <n v="2"/>
    <n v="59.99"/>
    <s v="Cash"/>
    <x v="3"/>
    <s v="Standard"/>
    <d v="2022-07-04T00:00:00"/>
    <n v="119.98"/>
    <x v="0"/>
    <n v="2024"/>
    <d v="2026-03-22T12:21:03"/>
    <s v="Keyboard"/>
    <s v="Normal"/>
  </r>
  <r>
    <s v="TRX0193"/>
    <d v="2024-04-21T00:00:00"/>
    <s v="CUST024"/>
    <s v="Dorothy Nelson"/>
    <s v="P003"/>
    <s v="Headphones"/>
    <x v="0"/>
    <n v="5"/>
    <n v="149.99"/>
    <s v="Credit Card"/>
    <x v="0"/>
    <s v="Standard"/>
    <d v="2021-08-10T00:00:00"/>
    <n v="749.95"/>
    <x v="0"/>
    <n v="2024"/>
    <d v="2026-03-22T12:21:03"/>
    <s v="Keyboard"/>
    <s v="Normal"/>
  </r>
  <r>
    <s v="TRX0240"/>
    <d v="2024-04-21T00:00:00"/>
    <s v="CUST017"/>
    <s v="Charles Allen"/>
    <s v="P005"/>
    <s v="Blender"/>
    <x v="1"/>
    <n v="3"/>
    <n v="59.99"/>
    <s v="Debit Card"/>
    <x v="1"/>
    <s v="Basic"/>
    <d v="2023-03-22T00:00:00"/>
    <n v="179.97"/>
    <x v="0"/>
    <n v="2024"/>
    <d v="2026-03-22T12:21:03"/>
    <s v="Keyboard"/>
    <s v="Normal"/>
  </r>
  <r>
    <s v="TRX0135"/>
    <d v="2024-04-23T00:00:00"/>
    <s v="CUST009"/>
    <s v="Robert Thomas"/>
    <s v="P001"/>
    <s v="Laptop"/>
    <x v="0"/>
    <n v="3"/>
    <n v="899.99"/>
    <s v="PayPal"/>
    <x v="4"/>
    <s v="Standard"/>
    <d v="2024-01-08T00:00:00"/>
    <n v="2699.97"/>
    <x v="0"/>
    <n v="2024"/>
    <d v="2026-03-22T12:21:03"/>
    <s v="Keyboard"/>
    <s v="High Value"/>
  </r>
  <r>
    <s v="TRX0185"/>
    <d v="2024-04-26T00:00:00"/>
    <s v="CUST026"/>
    <s v="Karen Hill"/>
    <s v="P005"/>
    <s v="Blender"/>
    <x v="1"/>
    <n v="3"/>
    <n v="59.99"/>
    <s v="Cash"/>
    <x v="3"/>
    <s v="Premium"/>
    <d v="2023-10-08T00:00:00"/>
    <n v="179.97"/>
    <x v="0"/>
    <n v="2024"/>
    <d v="2026-03-22T12:21:03"/>
    <s v="Keyboard"/>
    <s v="Normal"/>
  </r>
  <r>
    <s v="TRX0138"/>
    <d v="2024-04-26T00:00:00"/>
    <s v="CUST022"/>
    <s v="Susan Green"/>
    <s v="P008"/>
    <s v="Bookshelf"/>
    <x v="2"/>
    <n v="1"/>
    <n v="149.99"/>
    <s v="Credit Card"/>
    <x v="3"/>
    <s v="Standard"/>
    <d v="2023-06-26T00:00:00"/>
    <n v="149.99"/>
    <x v="0"/>
    <n v="2024"/>
    <d v="2026-03-22T12:21:03"/>
    <s v="Keyboard"/>
    <s v="Normal"/>
  </r>
  <r>
    <s v="TRX0209"/>
    <d v="2024-04-26T00:00:00"/>
    <s v="CUST046"/>
    <s v="Kathleen Bennett"/>
    <s v="P008"/>
    <s v="Bookshelf"/>
    <x v="2"/>
    <n v="5"/>
    <n v="149.99"/>
    <s v="Debit Card"/>
    <x v="2"/>
    <s v="Basic"/>
    <d v="2022-09-26T00:00:00"/>
    <n v="749.95"/>
    <x v="0"/>
    <n v="2024"/>
    <d v="2026-03-22T12:21:03"/>
    <s v="Keyboard"/>
    <s v="Normal"/>
  </r>
  <r>
    <s v="TRX0246"/>
    <d v="2024-04-26T00:00:00"/>
    <s v="CUST041"/>
    <s v="Peter Richardson"/>
    <s v="P008"/>
    <s v="Bookshelf"/>
    <x v="2"/>
    <n v="3"/>
    <n v="149.99"/>
    <s v="Cash"/>
    <x v="2"/>
    <s v="Premium"/>
    <d v="2022-09-02T00:00:00"/>
    <n v="449.97"/>
    <x v="0"/>
    <n v="2024"/>
    <d v="2026-03-22T12:21:03"/>
    <s v="Keyboard"/>
    <s v="Normal"/>
  </r>
  <r>
    <s v="TRX0067"/>
    <d v="2024-04-27T00:00:00"/>
    <s v="CUST043"/>
    <s v="Dennis Gray"/>
    <s v="P005"/>
    <s v="Blender"/>
    <x v="1"/>
    <n v="3"/>
    <n v="59.99"/>
    <s v="Credit Card"/>
    <x v="2"/>
    <s v="Standard"/>
    <d v="2024-02-29T00:00:00"/>
    <n v="179.97"/>
    <x v="0"/>
    <n v="2024"/>
    <d v="2026-03-22T12:21:03"/>
    <s v="Keyboard"/>
    <s v="Normal"/>
  </r>
  <r>
    <s v="TRX0191"/>
    <d v="2024-04-27T00:00:00"/>
    <s v="CUST038"/>
    <s v="Michelle Rogers"/>
    <s v="P002"/>
    <s v="Smartphone"/>
    <x v="0"/>
    <n v="3"/>
    <n v="699.99"/>
    <s v="Credit Card"/>
    <x v="3"/>
    <s v="Basic"/>
    <d v="2022-01-16T00:00:00"/>
    <n v="2099.9699999999998"/>
    <x v="0"/>
    <n v="2024"/>
    <d v="2026-03-22T12:21:03"/>
    <s v="Keyboard"/>
    <s v="High Value"/>
  </r>
  <r>
    <s v="TRX0230"/>
    <d v="2024-04-27T00:00:00"/>
    <s v="CUST027"/>
    <s v="George Adams"/>
    <s v="P001"/>
    <s v="Laptop"/>
    <x v="0"/>
    <n v="1"/>
    <n v="899.99"/>
    <s v="Debit Card"/>
    <x v="2"/>
    <s v="Standard"/>
    <d v="2022-12-25T00:00:00"/>
    <n v="899.99"/>
    <x v="0"/>
    <n v="2024"/>
    <d v="2026-03-22T12:21:03"/>
    <s v="Keyboard"/>
    <s v="Normal"/>
  </r>
  <r>
    <s v="TRX0049"/>
    <d v="2024-04-28T00:00:00"/>
    <s v="CUST025"/>
    <s v="Mark Carter"/>
    <s v="P008"/>
    <s v="Bookshelf"/>
    <x v="2"/>
    <n v="4"/>
    <n v="149.99"/>
    <s v="Debit Card"/>
    <x v="2"/>
    <s v="Premium"/>
    <d v="2024-03-23T00:00:00"/>
    <n v="599.96"/>
    <x v="0"/>
    <n v="2024"/>
    <d v="2026-03-22T12:21:03"/>
    <s v="Keyboard"/>
    <s v="Normal"/>
  </r>
  <r>
    <s v="TRX0134"/>
    <d v="2024-04-28T00:00:00"/>
    <s v="CUST010"/>
    <s v="Maria Garcia"/>
    <s v="P002"/>
    <s v="Smartphone"/>
    <x v="0"/>
    <n v="2"/>
    <n v="699.99"/>
    <s v="Cash"/>
    <x v="2"/>
    <s v="Basic"/>
    <d v="2022-08-08T00:00:00"/>
    <n v="1399.98"/>
    <x v="0"/>
    <n v="2024"/>
    <d v="2026-03-22T12:21:03"/>
    <s v="Keyboard"/>
    <s v="Normal"/>
  </r>
  <r>
    <s v="TRX0122"/>
    <d v="2024-04-28T00:00:00"/>
    <s v="CUST025"/>
    <s v="Mark Carter"/>
    <s v="P001"/>
    <s v="Laptop"/>
    <x v="0"/>
    <n v="4"/>
    <n v="899.99"/>
    <s v="Credit Card"/>
    <x v="3"/>
    <s v="Standard"/>
    <d v="2024-02-05T00:00:00"/>
    <n v="3599.96"/>
    <x v="0"/>
    <n v="2024"/>
    <d v="2026-03-22T12:21:03"/>
    <s v="Keyboard"/>
    <s v="High Value"/>
  </r>
  <r>
    <s v="TRX0222"/>
    <d v="2024-04-28T00:00:00"/>
    <s v="CUST048"/>
    <s v="Virginia Sanders"/>
    <s v="P009"/>
    <s v="Monitor"/>
    <x v="0"/>
    <n v="3"/>
    <n v="249.99"/>
    <s v="Credit Card"/>
    <x v="2"/>
    <s v="Premium"/>
    <d v="2023-10-25T00:00:00"/>
    <n v="749.97"/>
    <x v="0"/>
    <n v="2024"/>
    <d v="2026-03-22T12:21:03"/>
    <s v="Keyboard"/>
    <s v="Normal"/>
  </r>
  <r>
    <s v="TRX0231"/>
    <d v="2024-04-30T00:00:00"/>
    <s v="CUST018"/>
    <s v="Barbara Young"/>
    <s v="P002"/>
    <s v="Smartphone"/>
    <x v="0"/>
    <n v="5"/>
    <n v="699.99"/>
    <s v="Cash"/>
    <x v="3"/>
    <s v="Basic"/>
    <d v="2023-08-29T00:00:00"/>
    <n v="3499.95"/>
    <x v="0"/>
    <n v="2024"/>
    <d v="2026-03-22T12:21:03"/>
    <s v="Keyboard"/>
    <s v="High Value"/>
  </r>
  <r>
    <s v="TRX0239"/>
    <d v="2024-05-01T00:00:00"/>
    <s v="CUST012"/>
    <s v="Patricia Moore"/>
    <s v="P002"/>
    <s v="Smartphone"/>
    <x v="0"/>
    <n v="4"/>
    <n v="699.99"/>
    <s v="Cash"/>
    <x v="4"/>
    <s v="Standard"/>
    <d v="2021-08-01T00:00:00"/>
    <n v="2799.96"/>
    <x v="1"/>
    <n v="2024"/>
    <d v="2026-03-22T12:21:03"/>
    <s v="Keyboard"/>
    <s v="High Value"/>
  </r>
  <r>
    <s v="TRX0204"/>
    <d v="2024-05-03T00:00:00"/>
    <s v="CUST044"/>
    <s v="Cynthia Price"/>
    <s v="P009"/>
    <s v="Monitor"/>
    <x v="0"/>
    <n v="4"/>
    <n v="249.99"/>
    <s v="PayPal"/>
    <x v="2"/>
    <s v="Standard"/>
    <d v="2021-09-29T00:00:00"/>
    <n v="999.96"/>
    <x v="1"/>
    <n v="2024"/>
    <d v="2026-03-22T12:21:03"/>
    <s v="Keyboard"/>
    <s v="Normal"/>
  </r>
  <r>
    <s v="TRX0242"/>
    <d v="2024-05-04T00:00:00"/>
    <s v="CUST025"/>
    <s v="Mark Carter"/>
    <s v="P007"/>
    <s v="Desk"/>
    <x v="2"/>
    <n v="4"/>
    <n v="299.99"/>
    <s v="Cash"/>
    <x v="3"/>
    <s v="Premium"/>
    <d v="2022-06-04T00:00:00"/>
    <n v="1199.96"/>
    <x v="1"/>
    <n v="2024"/>
    <d v="2026-03-22T12:21:03"/>
    <s v="Keyboard"/>
    <s v="Normal"/>
  </r>
  <r>
    <s v="TRX0071"/>
    <d v="2024-05-10T00:00:00"/>
    <s v="CUST036"/>
    <s v="Nancy Collins"/>
    <s v="P009"/>
    <s v="Monitor"/>
    <x v="0"/>
    <n v="5"/>
    <n v="249.99"/>
    <s v="Credit Card"/>
    <x v="3"/>
    <s v="Standard"/>
    <d v="2021-11-25T00:00:00"/>
    <n v="1249.95"/>
    <x v="1"/>
    <n v="2024"/>
    <d v="2026-03-22T12:21:03"/>
    <s v="Keyboard"/>
    <s v="Normal"/>
  </r>
  <r>
    <s v="TRX0040"/>
    <d v="2024-05-12T00:00:00"/>
    <s v="CUST022"/>
    <s v="Susan Green"/>
    <s v="P007"/>
    <s v="Desk"/>
    <x v="2"/>
    <n v="5"/>
    <n v="299.99"/>
    <s v="PayPal"/>
    <x v="4"/>
    <s v="Basic"/>
    <d v="2023-08-30T00:00:00"/>
    <n v="1499.95"/>
    <x v="1"/>
    <n v="2024"/>
    <d v="2026-03-22T12:21:03"/>
    <s v="Keyboard"/>
    <s v="Normal"/>
  </r>
  <r>
    <s v="TRX0235"/>
    <d v="2024-05-12T00:00:00"/>
    <s v="CUST014"/>
    <s v="Linda Martin"/>
    <s v="P004"/>
    <s v="Coffee Maker"/>
    <x v="1"/>
    <n v="3"/>
    <n v="79.989999999999995"/>
    <s v="PayPal"/>
    <x v="4"/>
    <s v="Premium"/>
    <d v="2023-03-27T00:00:00"/>
    <n v="239.97"/>
    <x v="1"/>
    <n v="2024"/>
    <d v="2026-03-22T12:21:03"/>
    <s v="Keyboard"/>
    <s v="Normal"/>
  </r>
  <r>
    <s v="TRX0004"/>
    <d v="2024-05-12T00:00:00"/>
    <s v="CUST012"/>
    <s v="Patricia Moore"/>
    <s v="P010"/>
    <s v="Keyboard"/>
    <x v="0"/>
    <n v="5"/>
    <n v="89.99"/>
    <s v="Cash"/>
    <x v="2"/>
    <s v="Premium"/>
    <d v="2022-12-24T00:00:00"/>
    <n v="449.95"/>
    <x v="1"/>
    <n v="2024"/>
    <d v="2026-03-22T12:21:03"/>
    <s v="Keyboard"/>
    <s v="Normal"/>
  </r>
  <r>
    <s v="TRX0063"/>
    <d v="2024-05-13T00:00:00"/>
    <s v="CUST030"/>
    <s v="Helen Roberts"/>
    <s v="P005"/>
    <s v="Blender"/>
    <x v="1"/>
    <n v="2"/>
    <n v="59.99"/>
    <s v="Debit Card"/>
    <x v="0"/>
    <s v="Standard"/>
    <d v="2023-10-15T00:00:00"/>
    <n v="119.98"/>
    <x v="1"/>
    <n v="2024"/>
    <d v="2026-03-22T12:21:03"/>
    <s v="Keyboard"/>
    <s v="Normal"/>
  </r>
  <r>
    <s v="TRX0241"/>
    <d v="2024-05-15T00:00:00"/>
    <s v="CUST029"/>
    <s v="Edward Mitchell"/>
    <s v="P005"/>
    <s v="Blender"/>
    <x v="1"/>
    <n v="4"/>
    <n v="59.99"/>
    <s v="Debit Card"/>
    <x v="4"/>
    <s v="Standard"/>
    <d v="2022-11-02T00:00:00"/>
    <n v="239.96"/>
    <x v="1"/>
    <n v="2024"/>
    <d v="2026-03-22T12:21:03"/>
    <s v="Keyboard"/>
    <s v="Normal"/>
  </r>
  <r>
    <s v="TRX0029"/>
    <d v="2024-05-15T00:00:00"/>
    <s v="CUST017"/>
    <s v="Charles Allen"/>
    <s v="P006"/>
    <s v="Office Chair"/>
    <x v="2"/>
    <n v="5"/>
    <n v="199.99"/>
    <s v="Cash"/>
    <x v="1"/>
    <s v="Standard"/>
    <d v="2021-08-04T00:00:00"/>
    <n v="999.95"/>
    <x v="1"/>
    <n v="2024"/>
    <d v="2026-03-22T12:21:03"/>
    <s v="Keyboard"/>
    <s v="Normal"/>
  </r>
  <r>
    <s v="TRX0194"/>
    <d v="2024-05-16T00:00:00"/>
    <s v="CUST006"/>
    <s v="Lisa Anderson"/>
    <s v="P008"/>
    <s v="Bookshelf"/>
    <x v="2"/>
    <n v="2"/>
    <n v="149.99"/>
    <s v="Credit Card"/>
    <x v="3"/>
    <s v="Basic"/>
    <d v="2022-09-19T00:00:00"/>
    <n v="299.98"/>
    <x v="1"/>
    <n v="2024"/>
    <d v="2026-03-22T12:21:03"/>
    <s v="Keyboard"/>
    <s v="Normal"/>
  </r>
  <r>
    <s v="TRX0130"/>
    <d v="2024-05-18T00:00:00"/>
    <s v="CUST002"/>
    <s v="Emma Wilson"/>
    <s v="P008"/>
    <s v="Bookshelf"/>
    <x v="2"/>
    <n v="3"/>
    <n v="149.99"/>
    <s v="Credit Card"/>
    <x v="3"/>
    <s v="Premium"/>
    <d v="2023-05-22T00:00:00"/>
    <n v="449.97"/>
    <x v="1"/>
    <n v="2024"/>
    <d v="2026-03-22T12:21:03"/>
    <s v="Keyboard"/>
    <s v="Normal"/>
  </r>
  <r>
    <s v="TRX0041"/>
    <d v="2024-05-20T00:00:00"/>
    <s v="CUST021"/>
    <s v="Kevin Scott"/>
    <s v="P001"/>
    <s v="Laptop"/>
    <x v="0"/>
    <n v="1"/>
    <n v="899.99"/>
    <s v="Credit Card"/>
    <x v="3"/>
    <s v="Premium"/>
    <d v="2022-01-17T00:00:00"/>
    <n v="899.99"/>
    <x v="1"/>
    <n v="2024"/>
    <d v="2026-03-22T12:21:03"/>
    <s v="Keyboard"/>
    <s v="Normal"/>
  </r>
  <r>
    <s v="TRX0232"/>
    <d v="2024-05-22T00:00:00"/>
    <s v="CUST012"/>
    <s v="Patricia Moore"/>
    <s v="P007"/>
    <s v="Desk"/>
    <x v="2"/>
    <n v="3"/>
    <n v="299.99"/>
    <s v="Credit Card"/>
    <x v="4"/>
    <s v="Basic"/>
    <d v="2022-09-20T00:00:00"/>
    <n v="899.97"/>
    <x v="1"/>
    <n v="2024"/>
    <d v="2026-03-22T12:21:03"/>
    <s v="Keyboard"/>
    <s v="Normal"/>
  </r>
  <r>
    <s v="TRX0021"/>
    <d v="2024-05-23T00:00:00"/>
    <s v="CUST006"/>
    <s v="Lisa Anderson"/>
    <s v="P004"/>
    <s v="Coffee Maker"/>
    <x v="1"/>
    <n v="3"/>
    <n v="79.989999999999995"/>
    <s v="Cash"/>
    <x v="1"/>
    <s v="Basic"/>
    <d v="2023-04-30T00:00:00"/>
    <n v="239.97"/>
    <x v="1"/>
    <n v="2024"/>
    <d v="2026-03-22T12:21:03"/>
    <s v="Keyboard"/>
    <s v="Normal"/>
  </r>
  <r>
    <s v="TRX0245"/>
    <d v="2024-05-26T00:00:00"/>
    <s v="CUST031"/>
    <s v="Steven Turner"/>
    <s v="P006"/>
    <s v="Office Chair"/>
    <x v="2"/>
    <n v="3"/>
    <n v="199.99"/>
    <s v="Credit Card"/>
    <x v="2"/>
    <s v="Premium"/>
    <d v="2024-01-01T00:00:00"/>
    <n v="599.97"/>
    <x v="1"/>
    <n v="2024"/>
    <d v="2026-03-22T12:21:03"/>
    <s v="Keyboard"/>
    <s v="Normal"/>
  </r>
  <r>
    <s v="TRX0015"/>
    <d v="2024-05-28T00:00:00"/>
    <s v="CUST008"/>
    <s v="Jennifer Taylor"/>
    <s v="P002"/>
    <s v="Smartphone"/>
    <x v="0"/>
    <n v="5"/>
    <n v="699.99"/>
    <s v="PayPal"/>
    <x v="3"/>
    <s v="Standard"/>
    <d v="2021-07-30T00:00:00"/>
    <n v="3499.95"/>
    <x v="1"/>
    <n v="2024"/>
    <d v="2026-03-22T12:21:03"/>
    <s v="Keyboard"/>
    <s v="High Value"/>
  </r>
  <r>
    <s v="TRX0202"/>
    <d v="2024-05-29T00:00:00"/>
    <s v="CUST035"/>
    <s v="Harry Morgan"/>
    <s v="P010"/>
    <s v="Keyboard"/>
    <x v="0"/>
    <n v="3"/>
    <n v="89.99"/>
    <s v="PayPal"/>
    <x v="0"/>
    <s v="Premium"/>
    <d v="2023-07-13T00:00:00"/>
    <n v="269.97000000000003"/>
    <x v="1"/>
    <n v="2024"/>
    <d v="2026-03-22T12:21:03"/>
    <s v="Keyboard"/>
    <s v="Normal"/>
  </r>
  <r>
    <s v="TRX0042"/>
    <d v="2024-05-31T00:00:00"/>
    <s v="CUST019"/>
    <s v="Daniel King"/>
    <s v="P004"/>
    <s v="Coffee Maker"/>
    <x v="1"/>
    <n v="1"/>
    <n v="79.989999999999995"/>
    <s v="Cash"/>
    <x v="2"/>
    <s v="Standard"/>
    <d v="2022-12-22T00:00:00"/>
    <n v="79.989999999999995"/>
    <x v="1"/>
    <n v="2024"/>
    <d v="2026-03-22T12:21:03"/>
    <s v="Keyboard"/>
    <s v="Normal"/>
  </r>
  <r>
    <s v="TRX0128"/>
    <d v="2024-06-01T00:00:00"/>
    <s v="CUST040"/>
    <s v="Sharon Butler"/>
    <s v="P005"/>
    <s v="Blender"/>
    <x v="1"/>
    <n v="2"/>
    <n v="59.99"/>
    <s v="Cash"/>
    <x v="3"/>
    <s v="Basic"/>
    <d v="2024-04-08T00:00:00"/>
    <n v="119.98"/>
    <x v="2"/>
    <n v="2024"/>
    <d v="2026-03-22T12:21:03"/>
    <s v="Keyboard"/>
    <s v="Normal"/>
  </r>
  <r>
    <s v="TRX0117"/>
    <d v="2024-06-01T00:00:00"/>
    <s v="CUST017"/>
    <s v="Charles Allen"/>
    <s v="P010"/>
    <s v="Keyboard"/>
    <x v="0"/>
    <n v="1"/>
    <n v="89.99"/>
    <s v="Cash"/>
    <x v="2"/>
    <s v="Basic"/>
    <d v="2023-08-03T00:00:00"/>
    <n v="89.99"/>
    <x v="2"/>
    <n v="2024"/>
    <d v="2026-03-22T12:21:03"/>
    <s v="Keyboard"/>
    <s v="Normal"/>
  </r>
  <r>
    <s v="TRX0208"/>
    <d v="2024-06-03T00:00:00"/>
    <s v="CUST004"/>
    <s v="Sarah Davis"/>
    <s v="P010"/>
    <s v="Keyboard"/>
    <x v="0"/>
    <n v="5"/>
    <n v="89.99"/>
    <s v="Credit Card"/>
    <x v="4"/>
    <s v="Standard"/>
    <d v="2022-01-26T00:00:00"/>
    <n v="449.95"/>
    <x v="2"/>
    <n v="2024"/>
    <d v="2026-03-22T12:21:03"/>
    <s v="Keyboard"/>
    <s v="Normal"/>
  </r>
  <r>
    <s v="TRX0234"/>
    <d v="2024-06-06T00:00:00"/>
    <s v="CUST013"/>
    <s v="Joseph Jackson"/>
    <s v="P009"/>
    <s v="Monitor"/>
    <x v="0"/>
    <n v="5"/>
    <n v="249.99"/>
    <s v="Credit Card"/>
    <x v="4"/>
    <s v="Standard"/>
    <d v="2022-05-26T00:00:00"/>
    <n v="1249.95"/>
    <x v="2"/>
    <n v="2024"/>
    <d v="2026-03-22T12:21:03"/>
    <s v="Bookshelf"/>
    <s v="Normal"/>
  </r>
  <r>
    <s v="TRX0121"/>
    <d v="2024-06-06T00:00:00"/>
    <s v="CUST028"/>
    <s v="Betty Campbell"/>
    <s v="P010"/>
    <s v="Keyboard"/>
    <x v="0"/>
    <n v="1"/>
    <n v="89.99"/>
    <s v="Credit Card"/>
    <x v="1"/>
    <s v="Standard"/>
    <d v="2022-01-21T00:00:00"/>
    <n v="89.99"/>
    <x v="2"/>
    <n v="2024"/>
    <d v="2026-03-22T12:21:03"/>
    <s v="Bookshelf"/>
    <s v="Normal"/>
  </r>
  <r>
    <s v="TRX0220"/>
    <d v="2024-06-07T00:00:00"/>
    <s v="CUST003"/>
    <s v="Michael Brown"/>
    <s v="P008"/>
    <s v="Bookshelf"/>
    <x v="2"/>
    <n v="2"/>
    <n v="149.99"/>
    <s v="Cash"/>
    <x v="4"/>
    <s v="Premium"/>
    <d v="2022-03-25T00:00:00"/>
    <n v="299.98"/>
    <x v="2"/>
    <n v="2024"/>
    <d v="2026-03-22T12:21:03"/>
    <s v="Bookshelf"/>
    <s v="Normal"/>
  </r>
  <r>
    <s v="TRX0093"/>
    <d v="2024-06-09T00:00:00"/>
    <s v="CUST050"/>
    <s v="Julie Foster"/>
    <s v="P005"/>
    <s v="Blender"/>
    <x v="1"/>
    <n v="4"/>
    <n v="59.99"/>
    <s v="Cash"/>
    <x v="4"/>
    <s v="Standard"/>
    <d v="2021-08-27T00:00:00"/>
    <n v="239.96"/>
    <x v="2"/>
    <n v="2024"/>
    <d v="2026-03-22T12:21:03"/>
    <s v="Bookshelf"/>
    <s v="Normal"/>
  </r>
  <r>
    <s v="TRX0088"/>
    <d v="2024-06-13T00:00:00"/>
    <s v="CUST006"/>
    <s v="Lisa Anderson"/>
    <s v="P010"/>
    <s v="Keyboard"/>
    <x v="0"/>
    <n v="5"/>
    <n v="89.99"/>
    <s v="Cash"/>
    <x v="0"/>
    <s v="Premium"/>
    <d v="2022-01-18T00:00:00"/>
    <n v="449.95"/>
    <x v="2"/>
    <n v="2024"/>
    <d v="2026-03-22T12:21:03"/>
    <s v="Bookshelf"/>
    <s v="Normal"/>
  </r>
  <r>
    <s v="TRX0115"/>
    <d v="2024-06-16T00:00:00"/>
    <s v="CUST012"/>
    <s v="Patricia Moore"/>
    <s v="P010"/>
    <s v="Keyboard"/>
    <x v="0"/>
    <n v="2"/>
    <n v="89.99"/>
    <s v="Credit Card"/>
    <x v="1"/>
    <s v="Premium"/>
    <d v="2021-10-02T00:00:00"/>
    <n v="179.98"/>
    <x v="2"/>
    <n v="2024"/>
    <d v="2026-03-22T12:21:03"/>
    <s v="Bookshelf"/>
    <s v="Normal"/>
  </r>
  <r>
    <s v="TRX0154"/>
    <d v="2024-06-16T00:00:00"/>
    <s v="CUST023"/>
    <s v="Paul Baker"/>
    <s v="P001"/>
    <s v="Laptop"/>
    <x v="0"/>
    <n v="5"/>
    <n v="899.99"/>
    <s v="Credit Card"/>
    <x v="1"/>
    <s v="Standard"/>
    <d v="2023-02-17T00:00:00"/>
    <n v="4499.95"/>
    <x v="2"/>
    <n v="2024"/>
    <d v="2026-03-22T12:21:03"/>
    <s v="Bookshelf"/>
    <s v="High Value"/>
  </r>
  <r>
    <s v="TRX0044"/>
    <d v="2024-06-16T00:00:00"/>
    <s v="CUST029"/>
    <s v="Edward Mitchell"/>
    <s v="P001"/>
    <s v="Laptop"/>
    <x v="0"/>
    <n v="5"/>
    <n v="899.99"/>
    <s v="PayPal"/>
    <x v="4"/>
    <s v="Premium"/>
    <d v="2023-12-18T00:00:00"/>
    <n v="4499.95"/>
    <x v="2"/>
    <n v="2024"/>
    <d v="2026-03-22T12:21:03"/>
    <s v="Bookshelf"/>
    <s v="High Value"/>
  </r>
  <r>
    <s v="TRX0061"/>
    <d v="2024-06-17T00:00:00"/>
    <s v="CUST028"/>
    <s v="Betty Campbell"/>
    <s v="P005"/>
    <s v="Blender"/>
    <x v="1"/>
    <n v="1"/>
    <n v="59.99"/>
    <s v="Debit Card"/>
    <x v="3"/>
    <s v="Premium"/>
    <d v="2023-09-21T00:00:00"/>
    <n v="59.99"/>
    <x v="2"/>
    <n v="2024"/>
    <d v="2026-03-22T12:21:03"/>
    <s v="Keyboard"/>
    <s v="Normal"/>
  </r>
  <r>
    <s v="TRX0150"/>
    <d v="2024-06-17T00:00:00"/>
    <s v="CUST008"/>
    <s v="Jennifer Taylor"/>
    <s v="P007"/>
    <s v="Desk"/>
    <x v="2"/>
    <n v="2"/>
    <n v="299.99"/>
    <s v="Debit Card"/>
    <x v="4"/>
    <s v="Standard"/>
    <d v="2023-11-23T00:00:00"/>
    <n v="599.98"/>
    <x v="2"/>
    <n v="2024"/>
    <d v="2026-03-22T12:21:03"/>
    <m/>
    <s v="Normal"/>
  </r>
  <r>
    <s v="TRX0025"/>
    <d v="2024-06-25T00:00:00"/>
    <s v="CUST049"/>
    <s v="Raymond Ross"/>
    <s v="P010"/>
    <s v="Keyboard"/>
    <x v="0"/>
    <n v="4"/>
    <n v="89.99"/>
    <s v="Debit Card"/>
    <x v="1"/>
    <s v="Basic"/>
    <d v="2023-12-21T00:00:00"/>
    <n v="359.96"/>
    <x v="2"/>
    <n v="2024"/>
    <d v="2026-03-22T12:21:03"/>
    <m/>
    <s v="Normal"/>
  </r>
  <r>
    <s v="TRX0078"/>
    <d v="2024-06-26T00:00:00"/>
    <s v="CUST021"/>
    <s v="Kevin Scott"/>
    <s v="P004"/>
    <s v="Coffee Maker"/>
    <x v="1"/>
    <n v="1"/>
    <n v="79.989999999999995"/>
    <s v="PayPal"/>
    <x v="0"/>
    <s v="Premium"/>
    <d v="2024-03-01T00:00:00"/>
    <n v="79.989999999999995"/>
    <x v="2"/>
    <n v="2024"/>
    <d v="2026-03-22T12:21:03"/>
    <m/>
    <s v="Normal"/>
  </r>
  <r>
    <s v="TRX0007"/>
    <d v="2024-06-26T00:00:00"/>
    <s v="CUST009"/>
    <s v="Robert Thomas"/>
    <s v="P010"/>
    <s v="Keyboard"/>
    <x v="0"/>
    <n v="2"/>
    <n v="89.99"/>
    <s v="Cash"/>
    <x v="3"/>
    <s v="Basic"/>
    <d v="2021-08-30T00:00:00"/>
    <n v="179.98"/>
    <x v="2"/>
    <n v="2024"/>
    <d v="2026-03-22T12:21:03"/>
    <m/>
    <s v="Normal"/>
  </r>
  <r>
    <s v="TRX0184"/>
    <d v="2024-06-28T00:00:00"/>
    <s v="CUST046"/>
    <s v="Kathleen Bennett"/>
    <s v="P002"/>
    <s v="Smartphone"/>
    <x v="0"/>
    <n v="3"/>
    <n v="699.99"/>
    <s v="Credit Card"/>
    <x v="4"/>
    <s v="Premium"/>
    <d v="2023-06-25T00:00:00"/>
    <n v="2099.9699999999998"/>
    <x v="2"/>
    <n v="2024"/>
    <d v="2026-03-22T12:21:03"/>
    <m/>
    <s v="High Value"/>
  </r>
  <r>
    <s v="TRX0104"/>
    <d v="2024-06-28T00:00:00"/>
    <s v="CUST012"/>
    <s v="Patricia Moore"/>
    <s v="P001"/>
    <s v="Laptop"/>
    <x v="0"/>
    <n v="4"/>
    <n v="899.99"/>
    <s v="Credit Card"/>
    <x v="4"/>
    <s v="Premium"/>
    <d v="2023-03-08T00:00:00"/>
    <n v="3599.96"/>
    <x v="2"/>
    <n v="2024"/>
    <d v="2026-03-22T12:21:03"/>
    <m/>
    <s v="High Value"/>
  </r>
  <r>
    <s v="TRX0127"/>
    <d v="2024-06-29T00:00:00"/>
    <s v="CUST030"/>
    <s v="Helen Roberts"/>
    <s v="P008"/>
    <s v="Bookshelf"/>
    <x v="2"/>
    <n v="1"/>
    <n v="149.99"/>
    <s v="PayPal"/>
    <x v="4"/>
    <s v="Basic"/>
    <d v="2022-10-17T00:00:00"/>
    <n v="149.99"/>
    <x v="2"/>
    <n v="2024"/>
    <d v="2026-03-22T12:21:03"/>
    <m/>
    <s v="Normal"/>
  </r>
  <r>
    <s v="TRX0096"/>
    <d v="2024-07-01T00:00:00"/>
    <s v="CUST002"/>
    <s v="Emma Wilson"/>
    <s v="P010"/>
    <s v="Keyboard"/>
    <x v="0"/>
    <n v="2"/>
    <n v="89.99"/>
    <s v="PayPal"/>
    <x v="0"/>
    <s v="Premium"/>
    <d v="2023-12-15T00:00:00"/>
    <n v="179.98"/>
    <x v="3"/>
    <n v="2024"/>
    <d v="2026-03-22T12:21:03"/>
    <m/>
    <s v="Normal"/>
  </r>
  <r>
    <s v="TRX0192"/>
    <d v="2024-07-02T00:00:00"/>
    <s v="CUST017"/>
    <s v="Charles Allen"/>
    <s v="P010"/>
    <s v="Keyboard"/>
    <x v="0"/>
    <n v="1"/>
    <n v="89.99"/>
    <s v="PayPal"/>
    <x v="3"/>
    <s v="Standard"/>
    <d v="2022-08-29T00:00:00"/>
    <n v="89.99"/>
    <x v="3"/>
    <n v="2024"/>
    <d v="2026-03-22T12:21:03"/>
    <m/>
    <s v="Normal"/>
  </r>
  <r>
    <s v="TRX0052"/>
    <d v="2024-07-03T00:00:00"/>
    <s v="CUST022"/>
    <s v="Susan Green"/>
    <s v="P010"/>
    <s v="Keyboard"/>
    <x v="0"/>
    <n v="1"/>
    <n v="89.99"/>
    <s v="Cash"/>
    <x v="1"/>
    <s v="Standard"/>
    <d v="2022-02-19T00:00:00"/>
    <n v="89.99"/>
    <x v="3"/>
    <n v="2024"/>
    <d v="2026-03-22T12:21:03"/>
    <m/>
    <s v="Normal"/>
  </r>
  <r>
    <s v="TRX0070"/>
    <d v="2024-07-03T00:00:00"/>
    <s v="CUST007"/>
    <s v="David Martinez"/>
    <s v="P004"/>
    <s v="Coffee Maker"/>
    <x v="1"/>
    <n v="5"/>
    <n v="79.989999999999995"/>
    <s v="Debit Card"/>
    <x v="0"/>
    <s v="Basic"/>
    <d v="2023-02-24T00:00:00"/>
    <n v="399.95"/>
    <x v="3"/>
    <n v="2024"/>
    <d v="2026-03-22T12:21:03"/>
    <m/>
    <s v="Normal"/>
  </r>
  <r>
    <s v="TRX0086"/>
    <d v="2024-07-08T00:00:00"/>
    <s v="CUST020"/>
    <s v="Margaret Wright"/>
    <s v="P008"/>
    <s v="Bookshelf"/>
    <x v="2"/>
    <n v="1"/>
    <n v="149.99"/>
    <s v="PayPal"/>
    <x v="2"/>
    <s v="Basic"/>
    <d v="2021-08-13T00:00:00"/>
    <n v="149.99"/>
    <x v="3"/>
    <n v="2024"/>
    <d v="2026-03-22T12:21:03"/>
    <m/>
    <s v="Normal"/>
  </r>
  <r>
    <s v="TRX0113"/>
    <d v="2024-07-08T00:00:00"/>
    <s v="CUST003"/>
    <s v="Michael Brown"/>
    <s v="P002"/>
    <s v="Smartphone"/>
    <x v="0"/>
    <n v="2"/>
    <n v="699.99"/>
    <s v="PayPal"/>
    <x v="4"/>
    <s v="Premium"/>
    <d v="2024-04-07T00:00:00"/>
    <n v="1399.98"/>
    <x v="3"/>
    <n v="2024"/>
    <d v="2026-03-22T12:21:03"/>
    <m/>
    <s v="Normal"/>
  </r>
  <r>
    <s v="TRX0114"/>
    <d v="2024-07-08T00:00:00"/>
    <s v="CUST018"/>
    <s v="Barbara Young"/>
    <s v="P010"/>
    <s v="Keyboard"/>
    <x v="0"/>
    <n v="5"/>
    <n v="89.99"/>
    <s v="Debit Card"/>
    <x v="2"/>
    <s v="Premium"/>
    <d v="2023-08-23T00:00:00"/>
    <n v="449.95"/>
    <x v="3"/>
    <n v="2024"/>
    <d v="2026-03-22T12:21:03"/>
    <m/>
    <s v="Normal"/>
  </r>
  <r>
    <s v="TRX0136"/>
    <d v="2024-07-09T00:00:00"/>
    <s v="CUST049"/>
    <s v="Raymond Ross"/>
    <s v="P005"/>
    <s v="Blender"/>
    <x v="1"/>
    <n v="4"/>
    <n v="59.99"/>
    <s v="Cash"/>
    <x v="1"/>
    <s v="Standard"/>
    <d v="2021-11-09T00:00:00"/>
    <n v="239.96"/>
    <x v="3"/>
    <n v="2024"/>
    <d v="2026-03-22T12:21:03"/>
    <m/>
    <s v="Normal"/>
  </r>
  <r>
    <s v="TRX0018"/>
    <d v="2024-07-11T00:00:00"/>
    <s v="CUST013"/>
    <s v="Joseph Jackson"/>
    <s v="P003"/>
    <s v="Headphones"/>
    <x v="0"/>
    <n v="1"/>
    <n v="149.99"/>
    <s v="Cash"/>
    <x v="0"/>
    <s v="Standard"/>
    <d v="2022-12-14T00:00:00"/>
    <n v="149.99"/>
    <x v="3"/>
    <n v="2024"/>
    <d v="2026-03-22T12:21:03"/>
    <m/>
    <s v="Normal"/>
  </r>
  <r>
    <s v="TRX0141"/>
    <d v="2024-07-11T00:00:00"/>
    <s v="CUST033"/>
    <s v="Frank Torres"/>
    <s v="P007"/>
    <s v="Desk"/>
    <x v="2"/>
    <n v="1"/>
    <n v="299.99"/>
    <s v="Credit Card"/>
    <x v="2"/>
    <s v="Premium"/>
    <d v="2022-11-26T00:00:00"/>
    <n v="299.99"/>
    <x v="3"/>
    <n v="2024"/>
    <d v="2026-03-22T12:21:03"/>
    <m/>
    <s v="Normal"/>
  </r>
  <r>
    <s v="TRX0097"/>
    <d v="2024-07-14T00:00:00"/>
    <s v="CUST033"/>
    <s v="Frank Torres"/>
    <s v="P006"/>
    <s v="Office Chair"/>
    <x v="2"/>
    <n v="2"/>
    <n v="199.99"/>
    <s v="Cash"/>
    <x v="2"/>
    <s v="Basic"/>
    <d v="2021-12-11T00:00:00"/>
    <n v="399.98"/>
    <x v="3"/>
    <n v="2024"/>
    <d v="2026-03-22T12:21:03"/>
    <m/>
    <s v="Normal"/>
  </r>
  <r>
    <s v="TRX0169"/>
    <d v="2024-07-17T00:00:00"/>
    <s v="CUST047"/>
    <s v="Gerald Murphy"/>
    <s v="P005"/>
    <s v="Blender"/>
    <x v="1"/>
    <n v="3"/>
    <n v="59.99"/>
    <s v="Credit Card"/>
    <x v="3"/>
    <s v="Basic"/>
    <d v="2023-07-23T00:00:00"/>
    <n v="179.97"/>
    <x v="3"/>
    <n v="2024"/>
    <d v="2026-03-22T12:21:03"/>
    <m/>
    <s v="Normal"/>
  </r>
  <r>
    <s v="TRX0216"/>
    <d v="2024-07-17T00:00:00"/>
    <s v="CUST041"/>
    <s v="Peter Richardson"/>
    <s v="P008"/>
    <s v="Bookshelf"/>
    <x v="2"/>
    <n v="3"/>
    <n v="149.99"/>
    <s v="Cash"/>
    <x v="0"/>
    <s v="Premium"/>
    <d v="2023-09-30T00:00:00"/>
    <n v="449.97"/>
    <x v="3"/>
    <n v="2024"/>
    <d v="2026-03-22T12:21:03"/>
    <m/>
    <s v="Normal"/>
  </r>
  <r>
    <s v="TRX0131"/>
    <d v="2024-07-18T00:00:00"/>
    <s v="CUST026"/>
    <s v="Karen Hill"/>
    <s v="P006"/>
    <s v="Office Chair"/>
    <x v="2"/>
    <n v="3"/>
    <n v="199.99"/>
    <s v="Cash"/>
    <x v="2"/>
    <s v="Premium"/>
    <d v="2023-11-24T00:00:00"/>
    <n v="599.97"/>
    <x v="3"/>
    <n v="2024"/>
    <d v="2026-03-22T12:21:03"/>
    <m/>
    <s v="Normal"/>
  </r>
  <r>
    <s v="TRX0162"/>
    <d v="2024-07-23T00:00:00"/>
    <s v="CUST040"/>
    <s v="Sharon Butler"/>
    <s v="P001"/>
    <s v="Laptop"/>
    <x v="0"/>
    <n v="1"/>
    <n v="899.99"/>
    <s v="Cash"/>
    <x v="0"/>
    <s v="Standard"/>
    <d v="2023-09-10T00:00:00"/>
    <n v="899.99"/>
    <x v="3"/>
    <n v="2024"/>
    <d v="2026-03-22T12:21:03"/>
    <m/>
    <s v="Normal"/>
  </r>
  <r>
    <s v="TRX0244"/>
    <d v="2024-07-24T00:00:00"/>
    <s v="CUST013"/>
    <s v="Joseph Jackson"/>
    <s v="P001"/>
    <s v="Laptop"/>
    <x v="0"/>
    <n v="5"/>
    <n v="899.99"/>
    <s v="Debit Card"/>
    <x v="1"/>
    <s v="Standard"/>
    <d v="2022-12-04T00:00:00"/>
    <n v="4499.95"/>
    <x v="3"/>
    <n v="2024"/>
    <d v="2026-03-22T12:21:03"/>
    <m/>
    <s v="High Value"/>
  </r>
  <r>
    <s v="TRX0006"/>
    <d v="2024-07-25T00:00:00"/>
    <s v="CUST007"/>
    <s v="David Martinez"/>
    <s v="P005"/>
    <s v="Blender"/>
    <x v="1"/>
    <n v="2"/>
    <n v="59.99"/>
    <s v="Cash"/>
    <x v="2"/>
    <s v="Standard"/>
    <d v="2023-08-14T00:00:00"/>
    <n v="119.98"/>
    <x v="3"/>
    <n v="2024"/>
    <d v="2026-03-22T12:21:03"/>
    <m/>
    <s v="Normal"/>
  </r>
  <r>
    <s v="TRX0215"/>
    <d v="2024-07-25T00:00:00"/>
    <s v="CUST047"/>
    <s v="Gerald Murphy"/>
    <s v="P009"/>
    <s v="Monitor"/>
    <x v="0"/>
    <n v="4"/>
    <n v="249.99"/>
    <s v="Debit Card"/>
    <x v="0"/>
    <s v="Standard"/>
    <d v="2023-07-20T00:00:00"/>
    <n v="999.96"/>
    <x v="3"/>
    <n v="2024"/>
    <d v="2026-03-22T12:21:03"/>
    <m/>
    <s v="Normal"/>
  </r>
  <r>
    <s v="TRX0080"/>
    <d v="2024-07-27T00:00:00"/>
    <s v="CUST018"/>
    <s v="Barbara Young"/>
    <s v="P009"/>
    <s v="Monitor"/>
    <x v="0"/>
    <n v="2"/>
    <n v="249.99"/>
    <s v="Cash"/>
    <x v="2"/>
    <s v="Premium"/>
    <d v="2023-08-26T00:00:00"/>
    <n v="499.98"/>
    <x v="3"/>
    <n v="2024"/>
    <d v="2026-03-22T12:21:03"/>
    <m/>
    <s v="Normal"/>
  </r>
  <r>
    <s v="TRX0228"/>
    <d v="2024-07-27T00:00:00"/>
    <s v="CUST019"/>
    <s v="Daniel King"/>
    <s v="P007"/>
    <s v="Desk"/>
    <x v="2"/>
    <n v="1"/>
    <n v="299.99"/>
    <s v="Cash"/>
    <x v="1"/>
    <s v="Basic"/>
    <d v="2023-02-25T00:00:00"/>
    <n v="299.99"/>
    <x v="3"/>
    <n v="2024"/>
    <d v="2026-03-22T12:21:03"/>
    <m/>
    <s v="Normal"/>
  </r>
  <r>
    <s v="TRX0157"/>
    <d v="2024-07-28T00:00:00"/>
    <s v="CUST025"/>
    <s v="Mark Carter"/>
    <s v="P010"/>
    <s v="Keyboard"/>
    <x v="0"/>
    <n v="2"/>
    <n v="89.99"/>
    <s v="PayPal"/>
    <x v="1"/>
    <s v="Basic"/>
    <d v="2023-02-19T00:00:00"/>
    <n v="179.98"/>
    <x v="3"/>
    <n v="2024"/>
    <d v="2026-03-22T12:21:03"/>
    <m/>
    <s v="Normal"/>
  </r>
  <r>
    <s v="TRX0002"/>
    <d v="2024-07-28T00:00:00"/>
    <s v="CUST019"/>
    <s v="Daniel King"/>
    <s v="P007"/>
    <s v="Desk"/>
    <x v="2"/>
    <n v="3"/>
    <n v="299.99"/>
    <s v="Cash"/>
    <x v="0"/>
    <s v="Basic"/>
    <d v="2022-06-20T00:00:00"/>
    <n v="899.97"/>
    <x v="3"/>
    <n v="2024"/>
    <d v="2026-03-22T12:21:03"/>
    <m/>
    <s v="Normal"/>
  </r>
  <r>
    <s v="TRX0217"/>
    <d v="2024-07-30T00:00:00"/>
    <s v="CUST025"/>
    <s v="Mark Carter"/>
    <s v="P002"/>
    <s v="Smartphone"/>
    <x v="0"/>
    <n v="2"/>
    <n v="699.99"/>
    <s v="Credit Card"/>
    <x v="2"/>
    <s v="Premium"/>
    <d v="2023-03-14T00:00:00"/>
    <n v="1399.98"/>
    <x v="3"/>
    <n v="2024"/>
    <d v="2026-03-22T12:21:03"/>
    <m/>
    <s v="Normal"/>
  </r>
  <r>
    <s v="TRX0249"/>
    <d v="2024-07-31T00:00:00"/>
    <s v="CUST030"/>
    <s v="Helen Roberts"/>
    <s v="P001"/>
    <s v="Laptop"/>
    <x v="0"/>
    <n v="4"/>
    <n v="899.99"/>
    <s v="Debit Card"/>
    <x v="1"/>
    <s v="Standard"/>
    <d v="2021-11-23T00:00:00"/>
    <n v="3599.96"/>
    <x v="3"/>
    <n v="2024"/>
    <d v="2026-03-22T12:21:03"/>
    <m/>
    <s v="High Value"/>
  </r>
  <r>
    <s v="TRX0065"/>
    <d v="2024-08-05T00:00:00"/>
    <s v="CUST016"/>
    <s v="Elizabeth Hall"/>
    <s v="P008"/>
    <s v="Bookshelf"/>
    <x v="2"/>
    <n v="2"/>
    <n v="149.99"/>
    <s v="Credit Card"/>
    <x v="3"/>
    <s v="Basic"/>
    <d v="2021-12-12T00:00:00"/>
    <n v="299.98"/>
    <x v="4"/>
    <n v="2024"/>
    <d v="2026-03-22T12:21:03"/>
    <m/>
    <s v="Normal"/>
  </r>
  <r>
    <s v="TRX0176"/>
    <d v="2024-08-06T00:00:00"/>
    <s v="CUST044"/>
    <s v="Cynthia Price"/>
    <s v="P008"/>
    <s v="Bookshelf"/>
    <x v="2"/>
    <n v="2"/>
    <n v="149.99"/>
    <s v="Debit Card"/>
    <x v="4"/>
    <s v="Standard"/>
    <d v="2022-04-16T00:00:00"/>
    <n v="299.98"/>
    <x v="4"/>
    <n v="2024"/>
    <d v="2026-03-22T12:21:03"/>
    <m/>
    <s v="Normal"/>
  </r>
  <r>
    <s v="TRX0101"/>
    <d v="2024-08-09T00:00:00"/>
    <s v="CUST010"/>
    <s v="Maria Garcia"/>
    <s v="P010"/>
    <s v="Keyboard"/>
    <x v="0"/>
    <n v="1"/>
    <n v="89.99"/>
    <s v="Credit Card"/>
    <x v="2"/>
    <s v="Standard"/>
    <d v="2024-04-11T00:00:00"/>
    <n v="89.99"/>
    <x v="4"/>
    <n v="2024"/>
    <d v="2026-03-22T12:21:03"/>
    <m/>
    <s v="Normal"/>
  </r>
  <r>
    <s v="TRX0205"/>
    <d v="2024-08-11T00:00:00"/>
    <s v="CUST025"/>
    <s v="Mark Carter"/>
    <s v="P007"/>
    <s v="Desk"/>
    <x v="2"/>
    <n v="5"/>
    <n v="299.99"/>
    <s v="Credit Card"/>
    <x v="2"/>
    <s v="Basic"/>
    <d v="2023-02-08T00:00:00"/>
    <n v="1499.95"/>
    <x v="4"/>
    <n v="2024"/>
    <d v="2026-03-22T12:21:03"/>
    <m/>
    <s v="Normal"/>
  </r>
  <r>
    <s v="TRX0020"/>
    <d v="2024-08-13T00:00:00"/>
    <s v="CUST007"/>
    <s v="David Martinez"/>
    <s v="P003"/>
    <s v="Headphones"/>
    <x v="0"/>
    <n v="4"/>
    <n v="149.99"/>
    <s v="Debit Card"/>
    <x v="1"/>
    <s v="Premium"/>
    <d v="2022-09-16T00:00:00"/>
    <n v="599.96"/>
    <x v="4"/>
    <n v="2024"/>
    <d v="2026-03-22T12:21:03"/>
    <m/>
    <s v="Normal"/>
  </r>
  <r>
    <s v="TRX0075"/>
    <d v="2024-08-13T00:00:00"/>
    <s v="CUST020"/>
    <s v="Margaret Wright"/>
    <s v="P009"/>
    <s v="Monitor"/>
    <x v="0"/>
    <n v="5"/>
    <n v="249.99"/>
    <s v="PayPal"/>
    <x v="4"/>
    <s v="Premium"/>
    <d v="2022-08-09T00:00:00"/>
    <n v="1249.95"/>
    <x v="4"/>
    <n v="2024"/>
    <d v="2026-03-22T12:21:03"/>
    <m/>
    <s v="Normal"/>
  </r>
  <r>
    <s v="TRX0098"/>
    <d v="2024-08-13T00:00:00"/>
    <s v="CUST026"/>
    <s v="Karen Hill"/>
    <s v="P009"/>
    <s v="Monitor"/>
    <x v="0"/>
    <n v="3"/>
    <n v="249.99"/>
    <s v="PayPal"/>
    <x v="2"/>
    <s v="Premium"/>
    <d v="2021-09-26T00:00:00"/>
    <n v="749.97"/>
    <x v="4"/>
    <n v="2024"/>
    <d v="2026-03-22T12:21:03"/>
    <m/>
    <s v="Normal"/>
  </r>
  <r>
    <s v="TRX0247"/>
    <d v="2024-08-13T00:00:00"/>
    <s v="CUST046"/>
    <s v="Kathleen Bennett"/>
    <s v="P006"/>
    <s v="Office Chair"/>
    <x v="2"/>
    <n v="4"/>
    <n v="199.99"/>
    <s v="Cash"/>
    <x v="2"/>
    <s v="Standard"/>
    <d v="2021-09-19T00:00:00"/>
    <n v="799.96"/>
    <x v="4"/>
    <n v="2024"/>
    <d v="2026-03-22T12:21:03"/>
    <m/>
    <s v="Normal"/>
  </r>
  <r>
    <s v="TRX0027"/>
    <d v="2024-08-15T00:00:00"/>
    <s v="CUST028"/>
    <s v="Betty Campbell"/>
    <s v="P006"/>
    <s v="Office Chair"/>
    <x v="2"/>
    <n v="5"/>
    <n v="199.99"/>
    <s v="Cash"/>
    <x v="2"/>
    <s v="Premium"/>
    <d v="2023-03-06T00:00:00"/>
    <n v="999.95"/>
    <x v="4"/>
    <n v="2024"/>
    <d v="2026-03-22T12:21:03"/>
    <m/>
    <s v="Normal"/>
  </r>
  <r>
    <s v="TRX0140"/>
    <d v="2024-08-18T00:00:00"/>
    <s v="CUST025"/>
    <s v="Mark Carter"/>
    <s v="P010"/>
    <s v="Keyboard"/>
    <x v="0"/>
    <n v="2"/>
    <n v="89.99"/>
    <s v="Cash"/>
    <x v="4"/>
    <s v="Premium"/>
    <d v="2023-02-15T00:00:00"/>
    <n v="179.98"/>
    <x v="4"/>
    <n v="2024"/>
    <d v="2026-03-22T12:21:03"/>
    <m/>
    <s v="Normal"/>
  </r>
  <r>
    <s v="TRX0132"/>
    <d v="2024-08-19T00:00:00"/>
    <s v="CUST047"/>
    <s v="Gerald Murphy"/>
    <s v="P001"/>
    <s v="Laptop"/>
    <x v="0"/>
    <n v="5"/>
    <n v="899.99"/>
    <s v="Debit Card"/>
    <x v="4"/>
    <s v="Basic"/>
    <d v="2021-11-26T00:00:00"/>
    <n v="4499.95"/>
    <x v="4"/>
    <n v="2024"/>
    <d v="2026-03-22T12:21:03"/>
    <m/>
    <s v="High Value"/>
  </r>
  <r>
    <s v="TRX0031"/>
    <d v="2024-08-19T00:00:00"/>
    <s v="CUST036"/>
    <s v="Nancy Collins"/>
    <s v="P003"/>
    <s v="Headphones"/>
    <x v="0"/>
    <n v="3"/>
    <n v="149.99"/>
    <s v="PayPal"/>
    <x v="4"/>
    <s v="Basic"/>
    <d v="2022-01-13T00:00:00"/>
    <n v="449.97"/>
    <x v="4"/>
    <n v="2024"/>
    <d v="2026-03-22T12:21:03"/>
    <m/>
    <s v="Normal"/>
  </r>
  <r>
    <s v="TRX0236"/>
    <d v="2024-08-22T00:00:00"/>
    <s v="CUST044"/>
    <s v="Cynthia Price"/>
    <s v="P008"/>
    <s v="Bookshelf"/>
    <x v="2"/>
    <n v="5"/>
    <n v="149.99"/>
    <s v="Credit Card"/>
    <x v="0"/>
    <s v="Basic"/>
    <d v="2024-01-19T00:00:00"/>
    <n v="749.95"/>
    <x v="4"/>
    <n v="2024"/>
    <d v="2026-03-22T12:21:03"/>
    <m/>
    <s v="Normal"/>
  </r>
  <r>
    <s v="TRX0001"/>
    <d v="2024-08-24T00:00:00"/>
    <s v="CUST039"/>
    <s v="Lawrence Reed"/>
    <s v="P004"/>
    <s v="Coffee Maker"/>
    <x v="1"/>
    <n v="3"/>
    <n v="79.989999999999995"/>
    <s v="Cash"/>
    <x v="0"/>
    <s v="Premium"/>
    <d v="2022-08-06T00:00:00"/>
    <n v="239.97"/>
    <x v="4"/>
    <n v="2024"/>
    <d v="2026-03-22T12:21:03"/>
    <m/>
    <s v="Normal"/>
  </r>
  <r>
    <s v="TRX0037"/>
    <d v="2024-08-24T00:00:00"/>
    <s v="CUST035"/>
    <s v="Harry Morgan"/>
    <s v="P009"/>
    <s v="Monitor"/>
    <x v="0"/>
    <n v="2"/>
    <n v="249.99"/>
    <s v="Cash"/>
    <x v="1"/>
    <s v="Standard"/>
    <d v="2022-01-11T00:00:00"/>
    <n v="499.98"/>
    <x v="4"/>
    <n v="2024"/>
    <d v="2026-03-22T12:21:03"/>
    <m/>
    <s v="Normal"/>
  </r>
  <r>
    <s v="TRX0058"/>
    <d v="2024-08-28T00:00:00"/>
    <s v="CUST047"/>
    <s v="Gerald Murphy"/>
    <s v="P002"/>
    <s v="Smartphone"/>
    <x v="0"/>
    <n v="1"/>
    <n v="699.99"/>
    <s v="Cash"/>
    <x v="0"/>
    <s v="Premium"/>
    <d v="2021-10-28T00:00:00"/>
    <n v="699.99"/>
    <x v="4"/>
    <n v="2024"/>
    <d v="2026-03-22T12:21:03"/>
    <m/>
    <s v="Normal"/>
  </r>
  <r>
    <s v="TRX0170"/>
    <d v="2024-08-28T00:00:00"/>
    <s v="CUST034"/>
    <s v="Carol Evans"/>
    <s v="P003"/>
    <s v="Headphones"/>
    <x v="0"/>
    <n v="3"/>
    <n v="149.99"/>
    <s v="Cash"/>
    <x v="3"/>
    <s v="Premium"/>
    <d v="2023-10-13T00:00:00"/>
    <n v="449.97"/>
    <x v="4"/>
    <n v="2024"/>
    <d v="2026-03-22T12:21:03"/>
    <m/>
    <s v="Normal"/>
  </r>
  <r>
    <s v="TRX0248"/>
    <d v="2024-08-30T00:00:00"/>
    <s v="CUST032"/>
    <s v="Sandra Phillips"/>
    <s v="P002"/>
    <s v="Smartphone"/>
    <x v="0"/>
    <n v="2"/>
    <n v="699.99"/>
    <s v="Credit Card"/>
    <x v="2"/>
    <s v="Premium"/>
    <d v="2021-08-13T00:00:00"/>
    <n v="1399.98"/>
    <x v="4"/>
    <n v="2024"/>
    <d v="2026-03-22T12:21:03"/>
    <m/>
    <s v="Normal"/>
  </r>
  <r>
    <s v="TRX0099"/>
    <d v="2024-09-02T00:00:00"/>
    <s v="CUST034"/>
    <s v="Carol Evans"/>
    <s v="P009"/>
    <s v="Monitor"/>
    <x v="0"/>
    <n v="1"/>
    <n v="249.99"/>
    <s v="Credit Card"/>
    <x v="3"/>
    <s v="Premium"/>
    <d v="2022-05-04T00:00:00"/>
    <n v="249.99"/>
    <x v="5"/>
    <n v="2024"/>
    <d v="2026-03-22T12:21:03"/>
    <m/>
    <s v="Normal"/>
  </r>
  <r>
    <s v="TRX0074"/>
    <d v="2024-09-02T00:00:00"/>
    <s v="CUST023"/>
    <s v="Paul Baker"/>
    <s v="P009"/>
    <s v="Monitor"/>
    <x v="0"/>
    <n v="1"/>
    <n v="249.99"/>
    <s v="Debit Card"/>
    <x v="2"/>
    <s v="Premium"/>
    <d v="2024-02-10T00:00:00"/>
    <n v="249.99"/>
    <x v="5"/>
    <n v="2024"/>
    <d v="2026-03-22T12:21:03"/>
    <m/>
    <s v="Normal"/>
  </r>
  <r>
    <s v="TRX0225"/>
    <d v="2024-09-03T00:00:00"/>
    <s v="CUST039"/>
    <s v="Lawrence Reed"/>
    <s v="P002"/>
    <s v="Smartphone"/>
    <x v="0"/>
    <n v="2"/>
    <n v="699.99"/>
    <s v="Debit Card"/>
    <x v="0"/>
    <s v="Premium"/>
    <d v="2022-11-05T00:00:00"/>
    <n v="1399.98"/>
    <x v="5"/>
    <n v="2024"/>
    <d v="2026-03-22T12:21:03"/>
    <m/>
    <s v="Normal"/>
  </r>
  <r>
    <s v="TRX0100"/>
    <d v="2024-09-06T00:00:00"/>
    <s v="CUST031"/>
    <s v="Steven Turner"/>
    <s v="P005"/>
    <s v="Blender"/>
    <x v="1"/>
    <n v="3"/>
    <n v="59.99"/>
    <s v="Credit Card"/>
    <x v="0"/>
    <s v="Premium"/>
    <d v="2022-06-05T00:00:00"/>
    <n v="179.97"/>
    <x v="5"/>
    <n v="2024"/>
    <d v="2026-03-22T12:21:03"/>
    <m/>
    <s v="Normal"/>
  </r>
  <r>
    <s v="TRX0142"/>
    <d v="2024-09-09T00:00:00"/>
    <s v="CUST002"/>
    <s v="Emma Wilson"/>
    <s v="P005"/>
    <s v="Blender"/>
    <x v="1"/>
    <n v="3"/>
    <n v="59.99"/>
    <s v="PayPal"/>
    <x v="4"/>
    <s v="Standard"/>
    <d v="2022-07-06T00:00:00"/>
    <n v="179.97"/>
    <x v="5"/>
    <n v="2024"/>
    <d v="2026-03-22T12:21:03"/>
    <m/>
    <s v="Normal"/>
  </r>
  <r>
    <s v="TRX0112"/>
    <d v="2024-09-09T00:00:00"/>
    <s v="CUST008"/>
    <s v="Jennifer Taylor"/>
    <s v="P004"/>
    <s v="Coffee Maker"/>
    <x v="1"/>
    <n v="4"/>
    <n v="79.989999999999995"/>
    <s v="Cash"/>
    <x v="2"/>
    <s v="Basic"/>
    <d v="2021-11-30T00:00:00"/>
    <n v="319.95999999999998"/>
    <x v="5"/>
    <n v="2024"/>
    <d v="2026-03-22T12:21:03"/>
    <m/>
    <s v="Normal"/>
  </r>
  <r>
    <s v="TRX0161"/>
    <d v="2024-09-10T00:00:00"/>
    <s v="CUST017"/>
    <s v="Charles Allen"/>
    <s v="P004"/>
    <s v="Coffee Maker"/>
    <x v="1"/>
    <n v="1"/>
    <n v="79.989999999999995"/>
    <s v="Cash"/>
    <x v="3"/>
    <s v="Basic"/>
    <d v="2022-05-12T00:00:00"/>
    <n v="79.989999999999995"/>
    <x v="5"/>
    <n v="2024"/>
    <d v="2026-03-22T12:21:03"/>
    <m/>
    <s v="Normal"/>
  </r>
  <r>
    <s v="TRX0108"/>
    <d v="2024-09-12T00:00:00"/>
    <s v="CUST024"/>
    <s v="Dorothy Nelson"/>
    <s v="P007"/>
    <s v="Desk"/>
    <x v="2"/>
    <n v="3"/>
    <n v="299.99"/>
    <s v="Credit Card"/>
    <x v="0"/>
    <s v="Premium"/>
    <d v="2021-10-25T00:00:00"/>
    <n v="899.97"/>
    <x v="5"/>
    <n v="2024"/>
    <d v="2026-03-22T12:21:03"/>
    <m/>
    <s v="Normal"/>
  </r>
  <r>
    <s v="TRX0211"/>
    <d v="2024-09-13T00:00:00"/>
    <s v="CUST046"/>
    <s v="Kathleen Bennett"/>
    <s v="P010"/>
    <s v="Keyboard"/>
    <x v="0"/>
    <n v="2"/>
    <n v="89.99"/>
    <s v="Credit Card"/>
    <x v="1"/>
    <s v="Premium"/>
    <d v="2022-03-21T00:00:00"/>
    <n v="179.98"/>
    <x v="5"/>
    <n v="2024"/>
    <d v="2026-03-22T12:21:03"/>
    <m/>
    <s v="Normal"/>
  </r>
  <r>
    <s v="TRX0005"/>
    <d v="2024-09-15T00:00:00"/>
    <s v="CUST042"/>
    <s v="Ruth Brooks"/>
    <s v="P003"/>
    <s v="Headphones"/>
    <x v="0"/>
    <n v="4"/>
    <n v="149.99"/>
    <s v="Cash"/>
    <x v="2"/>
    <s v="Basic"/>
    <d v="2022-12-14T00:00:00"/>
    <n v="599.96"/>
    <x v="5"/>
    <n v="2024"/>
    <d v="2026-03-22T12:21:03"/>
    <m/>
    <s v="Normal"/>
  </r>
  <r>
    <s v="TRX0195"/>
    <d v="2024-09-16T00:00:00"/>
    <s v="CUST026"/>
    <s v="Karen Hill"/>
    <s v="P009"/>
    <s v="Monitor"/>
    <x v="0"/>
    <n v="2"/>
    <n v="249.99"/>
    <s v="PayPal"/>
    <x v="1"/>
    <s v="Basic"/>
    <d v="2023-03-08T00:00:00"/>
    <n v="499.98"/>
    <x v="5"/>
    <n v="2024"/>
    <d v="2026-03-22T12:21:03"/>
    <m/>
    <s v="Normal"/>
  </r>
  <r>
    <s v="TRX0054"/>
    <d v="2024-09-16T00:00:00"/>
    <s v="CUST004"/>
    <s v="Sarah Davis"/>
    <s v="P006"/>
    <s v="Office Chair"/>
    <x v="2"/>
    <n v="4"/>
    <n v="199.99"/>
    <s v="Debit Card"/>
    <x v="4"/>
    <s v="Basic"/>
    <d v="2021-09-19T00:00:00"/>
    <n v="799.96"/>
    <x v="5"/>
    <n v="2024"/>
    <d v="2026-03-22T12:21:03"/>
    <m/>
    <s v="Normal"/>
  </r>
  <r>
    <s v="TRX0077"/>
    <d v="2024-09-19T00:00:00"/>
    <s v="CUST019"/>
    <s v="Daniel King"/>
    <s v="P010"/>
    <s v="Keyboard"/>
    <x v="0"/>
    <n v="5"/>
    <n v="89.99"/>
    <s v="Credit Card"/>
    <x v="4"/>
    <s v="Premium"/>
    <d v="2021-09-07T00:00:00"/>
    <n v="449.95"/>
    <x v="5"/>
    <n v="2024"/>
    <d v="2026-03-22T12:21:03"/>
    <m/>
    <s v="Normal"/>
  </r>
  <r>
    <s v="TRX0111"/>
    <d v="2024-09-19T00:00:00"/>
    <s v="CUST011"/>
    <s v="William White"/>
    <s v="P003"/>
    <s v="Headphones"/>
    <x v="0"/>
    <n v="1"/>
    <n v="149.99"/>
    <s v="PayPal"/>
    <x v="4"/>
    <s v="Standard"/>
    <d v="2021-10-13T00:00:00"/>
    <n v="149.99"/>
    <x v="5"/>
    <n v="2024"/>
    <d v="2026-03-22T12:21:03"/>
    <m/>
    <s v="Normal"/>
  </r>
  <r>
    <s v="TRX0123"/>
    <d v="2024-09-19T00:00:00"/>
    <s v="CUST041"/>
    <s v="Peter Richardson"/>
    <s v="P002"/>
    <s v="Smartphone"/>
    <x v="0"/>
    <n v="4"/>
    <n v="699.99"/>
    <s v="PayPal"/>
    <x v="1"/>
    <s v="Basic"/>
    <d v="2022-02-26T00:00:00"/>
    <n v="2799.96"/>
    <x v="5"/>
    <n v="2024"/>
    <d v="2026-03-22T12:21:03"/>
    <m/>
    <s v="High Value"/>
  </r>
  <r>
    <s v="TRX0177"/>
    <d v="2024-09-24T00:00:00"/>
    <s v="CUST032"/>
    <s v="Sandra Phillips"/>
    <s v="P001"/>
    <s v="Laptop"/>
    <x v="0"/>
    <n v="3"/>
    <n v="899.99"/>
    <s v="Credit Card"/>
    <x v="2"/>
    <s v="Standard"/>
    <d v="2023-08-19T00:00:00"/>
    <n v="2699.97"/>
    <x v="5"/>
    <n v="2024"/>
    <d v="2026-03-22T12:21:03"/>
    <m/>
    <s v="High Value"/>
  </r>
  <r>
    <s v="TRX0119"/>
    <d v="2024-09-25T00:00:00"/>
    <s v="CUST014"/>
    <s v="Linda Martin"/>
    <s v="P008"/>
    <s v="Bookshelf"/>
    <x v="2"/>
    <n v="3"/>
    <n v="149.99"/>
    <s v="PayPal"/>
    <x v="4"/>
    <s v="Basic"/>
    <d v="2022-11-21T00:00:00"/>
    <n v="449.97"/>
    <x v="5"/>
    <n v="2024"/>
    <d v="2026-03-22T12:21:03"/>
    <m/>
    <s v="Normal"/>
  </r>
  <r>
    <s v="TRX0181"/>
    <d v="2024-09-28T00:00:00"/>
    <s v="CUST012"/>
    <s v="Patricia Moore"/>
    <s v="P007"/>
    <s v="Desk"/>
    <x v="2"/>
    <n v="2"/>
    <n v="299.99"/>
    <s v="Debit Card"/>
    <x v="0"/>
    <s v="Basic"/>
    <d v="2022-01-08T00:00:00"/>
    <n v="599.98"/>
    <x v="5"/>
    <n v="2024"/>
    <d v="2026-03-22T12:21:03"/>
    <m/>
    <s v="Normal"/>
  </r>
  <r>
    <s v="TRX0129"/>
    <d v="2024-09-29T00:00:00"/>
    <s v="CUST015"/>
    <s v="Richard Lee"/>
    <s v="P006"/>
    <s v="Office Chair"/>
    <x v="2"/>
    <n v="1"/>
    <n v="199.99"/>
    <s v="Debit Card"/>
    <x v="4"/>
    <s v="Standard"/>
    <d v="2023-01-27T00:00:00"/>
    <n v="199.99"/>
    <x v="5"/>
    <n v="2024"/>
    <d v="2026-03-22T12:21:03"/>
    <m/>
    <s v="Normal"/>
  </r>
  <r>
    <s v="TRX0174"/>
    <d v="2024-10-01T00:00:00"/>
    <s v="CUST003"/>
    <s v="Michael Brown"/>
    <s v="P007"/>
    <s v="Desk"/>
    <x v="2"/>
    <n v="4"/>
    <n v="299.99"/>
    <s v="Cash"/>
    <x v="0"/>
    <s v="Premium"/>
    <d v="2021-09-21T00:00:00"/>
    <n v="1199.96"/>
    <x v="6"/>
    <n v="2024"/>
    <d v="2026-03-22T12:21:03"/>
    <m/>
    <s v="Normal"/>
  </r>
  <r>
    <s v="TRX0146"/>
    <d v="2024-10-07T00:00:00"/>
    <s v="CUST010"/>
    <s v="Maria Garcia"/>
    <s v="P005"/>
    <s v="Blender"/>
    <x v="1"/>
    <n v="2"/>
    <n v="59.99"/>
    <s v="Credit Card"/>
    <x v="0"/>
    <s v="Basic"/>
    <d v="2022-01-18T00:00:00"/>
    <n v="119.98"/>
    <x v="6"/>
    <n v="2024"/>
    <d v="2026-03-22T12:21:03"/>
    <m/>
    <s v="Normal"/>
  </r>
  <r>
    <s v="TRX0203"/>
    <d v="2024-10-07T00:00:00"/>
    <s v="CUST032"/>
    <s v="Sandra Phillips"/>
    <s v="P003"/>
    <s v="Headphones"/>
    <x v="0"/>
    <n v="4"/>
    <n v="149.99"/>
    <s v="Credit Card"/>
    <x v="2"/>
    <s v="Premium"/>
    <d v="2023-05-30T00:00:00"/>
    <n v="599.96"/>
    <x v="6"/>
    <n v="2024"/>
    <d v="2026-03-22T12:21:03"/>
    <m/>
    <s v="Normal"/>
  </r>
  <r>
    <s v="TRX0055"/>
    <d v="2024-10-08T00:00:00"/>
    <s v="CUST016"/>
    <s v="Elizabeth Hall"/>
    <s v="P002"/>
    <s v="Smartphone"/>
    <x v="0"/>
    <n v="2"/>
    <n v="699.99"/>
    <s v="Debit Card"/>
    <x v="4"/>
    <s v="Premium"/>
    <d v="2023-12-14T00:00:00"/>
    <n v="1399.98"/>
    <x v="6"/>
    <n v="2024"/>
    <d v="2026-03-22T12:21:03"/>
    <m/>
    <s v="Normal"/>
  </r>
  <r>
    <s v="TRX0218"/>
    <d v="2024-10-08T00:00:00"/>
    <s v="CUST034"/>
    <s v="Carol Evans"/>
    <s v="P008"/>
    <s v="Bookshelf"/>
    <x v="2"/>
    <n v="3"/>
    <n v="149.99"/>
    <s v="Credit Card"/>
    <x v="1"/>
    <s v="Standard"/>
    <d v="2023-01-14T00:00:00"/>
    <n v="449.97"/>
    <x v="6"/>
    <n v="2024"/>
    <d v="2026-03-22T12:21:03"/>
    <m/>
    <s v="Normal"/>
  </r>
  <r>
    <s v="TRX0085"/>
    <d v="2024-10-11T00:00:00"/>
    <s v="CUST019"/>
    <s v="Daniel King"/>
    <s v="P007"/>
    <s v="Desk"/>
    <x v="2"/>
    <n v="3"/>
    <n v="299.99"/>
    <s v="Credit Card"/>
    <x v="0"/>
    <s v="Standard"/>
    <d v="2023-09-05T00:00:00"/>
    <n v="899.97"/>
    <x v="6"/>
    <n v="2024"/>
    <d v="2026-03-22T12:21:03"/>
    <m/>
    <s v="Normal"/>
  </r>
  <r>
    <s v="TRX0158"/>
    <d v="2024-10-14T00:00:00"/>
    <s v="CUST027"/>
    <s v="George Adams"/>
    <s v="P001"/>
    <s v="Laptop"/>
    <x v="0"/>
    <n v="3"/>
    <n v="899.99"/>
    <s v="PayPal"/>
    <x v="3"/>
    <s v="Basic"/>
    <d v="2023-10-16T00:00:00"/>
    <n v="2699.97"/>
    <x v="6"/>
    <n v="2024"/>
    <d v="2026-03-22T12:21:03"/>
    <m/>
    <s v="High Value"/>
  </r>
  <r>
    <s v="TRX0173"/>
    <d v="2024-10-16T00:00:00"/>
    <s v="CUST018"/>
    <s v="Barbara Young"/>
    <s v="P002"/>
    <s v="Smartphone"/>
    <x v="0"/>
    <n v="5"/>
    <n v="699.99"/>
    <s v="Cash"/>
    <x v="4"/>
    <s v="Standard"/>
    <d v="2023-03-23T00:00:00"/>
    <n v="3499.95"/>
    <x v="6"/>
    <n v="2024"/>
    <d v="2026-03-22T12:21:03"/>
    <m/>
    <s v="High Value"/>
  </r>
  <r>
    <s v="TRX0034"/>
    <d v="2024-10-16T00:00:00"/>
    <s v="CUST049"/>
    <s v="Raymond Ross"/>
    <s v="P002"/>
    <s v="Smartphone"/>
    <x v="0"/>
    <n v="4"/>
    <n v="699.99"/>
    <s v="Credit Card"/>
    <x v="0"/>
    <s v="Basic"/>
    <d v="2024-04-03T00:00:00"/>
    <n v="2799.96"/>
    <x v="6"/>
    <n v="2024"/>
    <d v="2026-03-22T12:21:03"/>
    <m/>
    <s v="High Value"/>
  </r>
  <r>
    <s v="TRX0189"/>
    <d v="2024-10-16T00:00:00"/>
    <s v="CUST040"/>
    <s v="Sharon Butler"/>
    <s v="P001"/>
    <s v="Laptop"/>
    <x v="0"/>
    <n v="1"/>
    <n v="899.99"/>
    <s v="Credit Card"/>
    <x v="4"/>
    <s v="Standard"/>
    <d v="2024-03-18T00:00:00"/>
    <n v="899.99"/>
    <x v="6"/>
    <n v="2024"/>
    <d v="2026-03-22T12:21:03"/>
    <m/>
    <s v="Normal"/>
  </r>
  <r>
    <s v="TRX0190"/>
    <d v="2024-10-18T00:00:00"/>
    <s v="CUST039"/>
    <s v="Lawrence Reed"/>
    <s v="P003"/>
    <s v="Headphones"/>
    <x v="0"/>
    <n v="2"/>
    <n v="149.99"/>
    <s v="Credit Card"/>
    <x v="3"/>
    <s v="Basic"/>
    <d v="2022-12-21T00:00:00"/>
    <n v="299.98"/>
    <x v="6"/>
    <n v="2024"/>
    <d v="2026-03-22T12:21:03"/>
    <m/>
    <s v="Normal"/>
  </r>
  <r>
    <s v="TRX0079"/>
    <d v="2024-10-21T00:00:00"/>
    <s v="CUST039"/>
    <s v="Lawrence Reed"/>
    <s v="P010"/>
    <s v="Keyboard"/>
    <x v="0"/>
    <n v="3"/>
    <n v="89.99"/>
    <s v="PayPal"/>
    <x v="0"/>
    <s v="Basic"/>
    <d v="2021-12-21T00:00:00"/>
    <n v="269.97000000000003"/>
    <x v="6"/>
    <n v="2024"/>
    <d v="2026-03-22T12:21:03"/>
    <m/>
    <s v="Normal"/>
  </r>
  <r>
    <s v="TRX0095"/>
    <d v="2024-10-23T00:00:00"/>
    <s v="CUST046"/>
    <s v="Kathleen Bennett"/>
    <s v="P003"/>
    <s v="Headphones"/>
    <x v="0"/>
    <n v="2"/>
    <n v="149.99"/>
    <s v="PayPal"/>
    <x v="0"/>
    <s v="Basic"/>
    <d v="2021-10-04T00:00:00"/>
    <n v="299.98"/>
    <x v="6"/>
    <n v="2024"/>
    <d v="2026-03-22T12:21:03"/>
    <m/>
    <s v="Normal"/>
  </r>
  <r>
    <s v="TRX0009"/>
    <d v="2024-10-23T00:00:00"/>
    <s v="CUST004"/>
    <s v="Sarah Davis"/>
    <s v="P002"/>
    <s v="Smartphone"/>
    <x v="0"/>
    <n v="2"/>
    <n v="699.99"/>
    <s v="Cash"/>
    <x v="0"/>
    <s v="Basic"/>
    <d v="2023-03-07T00:00:00"/>
    <n v="1399.98"/>
    <x v="6"/>
    <n v="2024"/>
    <d v="2026-03-22T12:21:03"/>
    <m/>
    <s v="Normal"/>
  </r>
  <r>
    <s v="TRX0167"/>
    <d v="2024-10-24T00:00:00"/>
    <s v="CUST028"/>
    <s v="Betty Campbell"/>
    <s v="P002"/>
    <s v="Smartphone"/>
    <x v="0"/>
    <n v="5"/>
    <n v="699.99"/>
    <s v="Cash"/>
    <x v="2"/>
    <s v="Premium"/>
    <d v="2022-03-15T00:00:00"/>
    <n v="3499.95"/>
    <x v="6"/>
    <n v="2024"/>
    <d v="2026-03-22T12:21:03"/>
    <m/>
    <s v="High Value"/>
  </r>
  <r>
    <s v="TRX0153"/>
    <d v="2024-10-27T00:00:00"/>
    <s v="CUST049"/>
    <s v="Raymond Ross"/>
    <s v="P010"/>
    <s v="Keyboard"/>
    <x v="0"/>
    <n v="3"/>
    <n v="89.99"/>
    <s v="Credit Card"/>
    <x v="2"/>
    <s v="Standard"/>
    <d v="2022-02-23T00:00:00"/>
    <n v="269.97000000000003"/>
    <x v="6"/>
    <n v="2024"/>
    <d v="2026-03-22T12:21:03"/>
    <m/>
    <s v="Normal"/>
  </r>
  <r>
    <s v="TRX0057"/>
    <d v="2024-11-01T00:00:00"/>
    <s v="CUST023"/>
    <s v="Paul Baker"/>
    <s v="P009"/>
    <s v="Monitor"/>
    <x v="0"/>
    <n v="5"/>
    <n v="249.99"/>
    <s v="Credit Card"/>
    <x v="1"/>
    <s v="Standard"/>
    <d v="2022-11-16T00:00:00"/>
    <n v="1249.95"/>
    <x v="7"/>
    <n v="2024"/>
    <d v="2026-03-22T12:21:03"/>
    <m/>
    <s v="Normal"/>
  </r>
  <r>
    <s v="TRX0017"/>
    <d v="2024-11-04T00:00:00"/>
    <s v="CUST026"/>
    <s v="Karen Hill"/>
    <s v="P007"/>
    <s v="Desk"/>
    <x v="2"/>
    <n v="3"/>
    <n v="299.99"/>
    <s v="Credit Card"/>
    <x v="1"/>
    <s v="Standard"/>
    <d v="2021-11-02T00:00:00"/>
    <n v="899.97"/>
    <x v="7"/>
    <n v="2024"/>
    <d v="2026-03-22T12:21:03"/>
    <m/>
    <s v="Normal"/>
  </r>
  <r>
    <s v="TRX0060"/>
    <d v="2024-11-07T00:00:00"/>
    <s v="CUST012"/>
    <s v="Patricia Moore"/>
    <s v="P010"/>
    <s v="Keyboard"/>
    <x v="0"/>
    <n v="3"/>
    <n v="89.99"/>
    <s v="Credit Card"/>
    <x v="2"/>
    <s v="Premium"/>
    <d v="2021-08-12T00:00:00"/>
    <n v="269.97000000000003"/>
    <x v="7"/>
    <n v="2024"/>
    <d v="2026-03-22T12:21:03"/>
    <m/>
    <s v="Normal"/>
  </r>
  <r>
    <s v="TRX0109"/>
    <d v="2024-11-08T00:00:00"/>
    <s v="CUST010"/>
    <s v="Maria Garcia"/>
    <s v="P008"/>
    <s v="Bookshelf"/>
    <x v="2"/>
    <n v="2"/>
    <n v="149.99"/>
    <s v="Credit Card"/>
    <x v="3"/>
    <s v="Premium"/>
    <d v="2022-10-14T00:00:00"/>
    <n v="299.98"/>
    <x v="7"/>
    <n v="2024"/>
    <d v="2026-03-22T12:21:03"/>
    <m/>
    <s v="Normal"/>
  </r>
  <r>
    <s v="TRX0090"/>
    <d v="2024-11-09T00:00:00"/>
    <s v="CUST020"/>
    <s v="Margaret Wright"/>
    <s v="P009"/>
    <s v="Monitor"/>
    <x v="0"/>
    <n v="1"/>
    <n v="249.99"/>
    <s v="Credit Card"/>
    <x v="2"/>
    <s v="Premium"/>
    <d v="2022-09-24T00:00:00"/>
    <n v="249.99"/>
    <x v="7"/>
    <n v="2024"/>
    <d v="2026-03-22T12:21:03"/>
    <m/>
    <s v="Normal"/>
  </r>
  <r>
    <s v="TRX0035"/>
    <d v="2024-11-11T00:00:00"/>
    <s v="CUST041"/>
    <s v="Peter Richardson"/>
    <s v="P003"/>
    <s v="Headphones"/>
    <x v="0"/>
    <n v="3"/>
    <n v="149.99"/>
    <s v="Cash"/>
    <x v="2"/>
    <s v="Basic"/>
    <d v="2022-07-27T00:00:00"/>
    <n v="449.97"/>
    <x v="7"/>
    <n v="2024"/>
    <d v="2026-03-22T12:21:03"/>
    <m/>
    <s v="Normal"/>
  </r>
  <r>
    <s v="TRX0172"/>
    <d v="2024-11-11T00:00:00"/>
    <s v="CUST023"/>
    <s v="Paul Baker"/>
    <s v="P005"/>
    <s v="Blender"/>
    <x v="1"/>
    <n v="5"/>
    <n v="59.99"/>
    <s v="PayPal"/>
    <x v="3"/>
    <s v="Premium"/>
    <d v="2022-05-13T00:00:00"/>
    <n v="299.95"/>
    <x v="7"/>
    <n v="2024"/>
    <d v="2026-03-22T12:21:03"/>
    <m/>
    <s v="Normal"/>
  </r>
  <r>
    <s v="TRX0076"/>
    <d v="2024-11-11T00:00:00"/>
    <s v="CUST012"/>
    <s v="Patricia Moore"/>
    <s v="P009"/>
    <s v="Monitor"/>
    <x v="0"/>
    <n v="4"/>
    <n v="249.99"/>
    <s v="Credit Card"/>
    <x v="3"/>
    <s v="Standard"/>
    <d v="2022-04-08T00:00:00"/>
    <n v="999.96"/>
    <x v="7"/>
    <n v="2024"/>
    <d v="2026-03-22T12:21:03"/>
    <m/>
    <s v="Normal"/>
  </r>
  <r>
    <s v="TRX0210"/>
    <d v="2024-11-12T00:00:00"/>
    <s v="CUST004"/>
    <s v="Sarah Davis"/>
    <s v="P008"/>
    <s v="Bookshelf"/>
    <x v="2"/>
    <n v="5"/>
    <n v="149.99"/>
    <s v="PayPal"/>
    <x v="0"/>
    <s v="Basic"/>
    <d v="2022-12-06T00:00:00"/>
    <n v="749.95"/>
    <x v="7"/>
    <n v="2024"/>
    <d v="2026-03-22T12:21:03"/>
    <m/>
    <s v="Normal"/>
  </r>
  <r>
    <s v="TRX0149"/>
    <d v="2024-11-12T00:00:00"/>
    <s v="CUST027"/>
    <s v="George Adams"/>
    <s v="P005"/>
    <s v="Blender"/>
    <x v="1"/>
    <n v="3"/>
    <n v="59.99"/>
    <s v="Debit Card"/>
    <x v="1"/>
    <s v="Standard"/>
    <d v="2023-11-30T00:00:00"/>
    <n v="179.97"/>
    <x v="7"/>
    <n v="2024"/>
    <d v="2026-03-22T12:21:03"/>
    <m/>
    <s v="Normal"/>
  </r>
  <r>
    <s v="TRX0073"/>
    <d v="2024-11-17T00:00:00"/>
    <s v="CUST032"/>
    <s v="Sandra Phillips"/>
    <s v="P008"/>
    <s v="Bookshelf"/>
    <x v="2"/>
    <n v="5"/>
    <n v="149.99"/>
    <s v="Cash"/>
    <x v="2"/>
    <s v="Basic"/>
    <d v="2022-11-04T00:00:00"/>
    <n v="749.95"/>
    <x v="7"/>
    <n v="2024"/>
    <d v="2026-03-22T12:21:03"/>
    <m/>
    <s v="Normal"/>
  </r>
  <r>
    <s v="TRX0033"/>
    <d v="2024-11-17T00:00:00"/>
    <s v="CUST025"/>
    <s v="Mark Carter"/>
    <s v="P002"/>
    <s v="Smartphone"/>
    <x v="0"/>
    <n v="2"/>
    <n v="699.99"/>
    <s v="PayPal"/>
    <x v="3"/>
    <s v="Standard"/>
    <d v="2022-07-28T00:00:00"/>
    <n v="1399.98"/>
    <x v="7"/>
    <n v="2024"/>
    <d v="2026-03-22T12:21:03"/>
    <m/>
    <s v="Normal"/>
  </r>
  <r>
    <s v="TRX0160"/>
    <d v="2024-11-21T00:00:00"/>
    <s v="CUST029"/>
    <s v="Edward Mitchell"/>
    <s v="P006"/>
    <s v="Office Chair"/>
    <x v="2"/>
    <n v="4"/>
    <n v="199.99"/>
    <s v="Debit Card"/>
    <x v="0"/>
    <s v="Premium"/>
    <d v="2021-08-19T00:00:00"/>
    <n v="799.96"/>
    <x v="7"/>
    <n v="2024"/>
    <d v="2026-03-22T12:21:03"/>
    <m/>
    <s v="Normal"/>
  </r>
  <r>
    <s v="TRX0145"/>
    <d v="2024-11-23T00:00:00"/>
    <s v="CUST033"/>
    <s v="Frank Torres"/>
    <s v="P005"/>
    <s v="Blender"/>
    <x v="1"/>
    <n v="1"/>
    <n v="59.99"/>
    <s v="Debit Card"/>
    <x v="3"/>
    <s v="Standard"/>
    <d v="2021-12-30T00:00:00"/>
    <n v="59.99"/>
    <x v="7"/>
    <n v="2024"/>
    <d v="2026-03-22T12:21:03"/>
    <m/>
    <s v="Normal"/>
  </r>
  <r>
    <s v="TRX0148"/>
    <d v="2024-11-23T00:00:00"/>
    <s v="CUST004"/>
    <s v="Sarah Davis"/>
    <s v="P002"/>
    <s v="Smartphone"/>
    <x v="0"/>
    <n v="3"/>
    <n v="699.99"/>
    <s v="PayPal"/>
    <x v="3"/>
    <s v="Standard"/>
    <d v="2022-01-22T00:00:00"/>
    <n v="2099.9699999999998"/>
    <x v="7"/>
    <n v="2024"/>
    <d v="2026-03-22T12:21:03"/>
    <m/>
    <s v="High Value"/>
  </r>
  <r>
    <s v="TRX0012"/>
    <d v="2024-11-26T00:00:00"/>
    <s v="CUST045"/>
    <s v="Douglas Watson"/>
    <s v="P009"/>
    <s v="Monitor"/>
    <x v="0"/>
    <n v="5"/>
    <n v="249.99"/>
    <s v="Credit Card"/>
    <x v="2"/>
    <s v="Basic"/>
    <d v="2022-11-08T00:00:00"/>
    <n v="1249.95"/>
    <x v="7"/>
    <n v="2024"/>
    <d v="2026-03-22T12:21:03"/>
    <m/>
    <s v="Normal"/>
  </r>
  <r>
    <s v="TRX0206"/>
    <d v="2024-11-27T00:00:00"/>
    <s v="CUST014"/>
    <s v="Linda Martin"/>
    <s v="P008"/>
    <s v="Bookshelf"/>
    <x v="2"/>
    <n v="2"/>
    <n v="149.99"/>
    <s v="Cash"/>
    <x v="1"/>
    <s v="Standard"/>
    <d v="2023-06-24T00:00:00"/>
    <n v="299.98"/>
    <x v="7"/>
    <n v="2024"/>
    <d v="2026-03-22T12:21:03"/>
    <m/>
    <s v="Normal"/>
  </r>
  <r>
    <s v="TRX0045"/>
    <d v="2024-12-01T00:00:00"/>
    <s v="CUST021"/>
    <s v="Kevin Scott"/>
    <s v="P007"/>
    <s v="Desk"/>
    <x v="2"/>
    <n v="3"/>
    <n v="299.99"/>
    <s v="Cash"/>
    <x v="1"/>
    <s v="Premium"/>
    <d v="2022-04-08T00:00:00"/>
    <n v="899.97"/>
    <x v="8"/>
    <n v="2024"/>
    <d v="2026-03-22T12:21:03"/>
    <m/>
    <s v="Normal"/>
  </r>
  <r>
    <s v="TRX0094"/>
    <d v="2024-12-01T00:00:00"/>
    <s v="CUST017"/>
    <s v="Charles Allen"/>
    <s v="P009"/>
    <s v="Monitor"/>
    <x v="0"/>
    <n v="5"/>
    <n v="249.99"/>
    <s v="Cash"/>
    <x v="0"/>
    <s v="Premium"/>
    <d v="2021-10-16T00:00:00"/>
    <n v="1249.95"/>
    <x v="8"/>
    <n v="2024"/>
    <d v="2026-03-22T12:21:03"/>
    <m/>
    <s v="Normal"/>
  </r>
  <r>
    <s v="TRX0133"/>
    <d v="2024-12-01T00:00:00"/>
    <s v="CUST013"/>
    <s v="Joseph Jackson"/>
    <s v="P003"/>
    <s v="Headphones"/>
    <x v="0"/>
    <n v="2"/>
    <n v="149.99"/>
    <s v="Cash"/>
    <x v="1"/>
    <s v="Premium"/>
    <d v="2021-10-06T00:00:00"/>
    <n v="299.98"/>
    <x v="8"/>
    <n v="2024"/>
    <d v="2026-03-22T12:21:03"/>
    <m/>
    <s v="Normal"/>
  </r>
  <r>
    <s v="TRX0201"/>
    <d v="2024-12-01T00:00:00"/>
    <s v="CUST025"/>
    <s v="Mark Carter"/>
    <s v="P002"/>
    <s v="Smartphone"/>
    <x v="0"/>
    <n v="5"/>
    <n v="699.99"/>
    <s v="Debit Card"/>
    <x v="3"/>
    <s v="Standard"/>
    <d v="2023-01-18T00:00:00"/>
    <n v="3499.95"/>
    <x v="8"/>
    <n v="2024"/>
    <d v="2026-03-22T12:21:03"/>
    <m/>
    <s v="High Value"/>
  </r>
  <r>
    <s v="TRX0137"/>
    <d v="2024-12-03T00:00:00"/>
    <s v="CUST011"/>
    <s v="William White"/>
    <s v="P009"/>
    <s v="Monitor"/>
    <x v="0"/>
    <n v="4"/>
    <n v="249.99"/>
    <s v="PayPal"/>
    <x v="4"/>
    <s v="Premium"/>
    <d v="2023-06-21T00:00:00"/>
    <n v="999.96"/>
    <x v="8"/>
    <n v="2024"/>
    <d v="2026-03-22T12:21:03"/>
    <m/>
    <s v="Normal"/>
  </r>
  <r>
    <s v="TRX0066"/>
    <d v="2024-12-04T00:00:00"/>
    <s v="CUST024"/>
    <s v="Dorothy Nelson"/>
    <s v="P002"/>
    <s v="Smartphone"/>
    <x v="0"/>
    <n v="4"/>
    <n v="699.99"/>
    <s v="Credit Card"/>
    <x v="2"/>
    <s v="Premium"/>
    <d v="2022-05-22T00:00:00"/>
    <n v="2799.96"/>
    <x v="8"/>
    <n v="2024"/>
    <d v="2026-03-22T12:21:03"/>
    <m/>
    <s v="High Value"/>
  </r>
  <r>
    <s v="TRX0180"/>
    <d v="2024-12-09T00:00:00"/>
    <s v="CUST036"/>
    <s v="Nancy Collins"/>
    <s v="P009"/>
    <s v="Monitor"/>
    <x v="0"/>
    <n v="2"/>
    <n v="249.99"/>
    <s v="Credit Card"/>
    <x v="0"/>
    <s v="Premium"/>
    <d v="2021-07-19T00:00:00"/>
    <n v="499.98"/>
    <x v="8"/>
    <n v="2024"/>
    <d v="2026-03-22T12:21:03"/>
    <m/>
    <s v="Normal"/>
  </r>
  <r>
    <s v="TRX0082"/>
    <d v="2024-12-09T00:00:00"/>
    <s v="CUST005"/>
    <s v="James Johnson"/>
    <s v="P005"/>
    <s v="Blender"/>
    <x v="1"/>
    <n v="3"/>
    <n v="59.99"/>
    <s v="Cash"/>
    <x v="0"/>
    <s v="Premium"/>
    <d v="2023-05-06T00:00:00"/>
    <n v="179.97"/>
    <x v="8"/>
    <n v="2024"/>
    <d v="2026-03-22T12:21:03"/>
    <m/>
    <s v="Normal"/>
  </r>
  <r>
    <s v="TRX0036"/>
    <d v="2024-12-09T00:00:00"/>
    <s v="CUST008"/>
    <s v="Jennifer Taylor"/>
    <s v="P004"/>
    <s v="Coffee Maker"/>
    <x v="1"/>
    <n v="4"/>
    <n v="79.989999999999995"/>
    <s v="Debit Card"/>
    <x v="4"/>
    <s v="Standard"/>
    <d v="2022-12-26T00:00:00"/>
    <n v="319.95999999999998"/>
    <x v="8"/>
    <n v="2024"/>
    <d v="2026-03-22T12:21:03"/>
    <m/>
    <s v="Normal"/>
  </r>
  <r>
    <s v="TRX0198"/>
    <d v="2024-12-10T00:00:00"/>
    <s v="CUST030"/>
    <s v="Helen Roberts"/>
    <s v="P004"/>
    <s v="Coffee Maker"/>
    <x v="1"/>
    <n v="3"/>
    <n v="79.989999999999995"/>
    <s v="Debit Card"/>
    <x v="4"/>
    <s v="Standard"/>
    <d v="2022-08-06T00:00:00"/>
    <n v="239.97"/>
    <x v="8"/>
    <n v="2024"/>
    <d v="2026-03-22T12:21:03"/>
    <m/>
    <s v="Normal"/>
  </r>
  <r>
    <s v="TRX0032"/>
    <d v="2024-12-12T00:00:00"/>
    <s v="CUST041"/>
    <s v="Peter Richardson"/>
    <s v="P001"/>
    <s v="Laptop"/>
    <x v="0"/>
    <n v="2"/>
    <n v="899.99"/>
    <s v="Cash"/>
    <x v="2"/>
    <s v="Basic"/>
    <d v="2021-07-29T00:00:00"/>
    <n v="1799.98"/>
    <x v="8"/>
    <n v="2024"/>
    <d v="2026-03-22T12:21:03"/>
    <m/>
    <s v="Normal"/>
  </r>
  <r>
    <s v="TRX0081"/>
    <d v="2024-12-15T00:00:00"/>
    <s v="CUST007"/>
    <s v="David Martinez"/>
    <s v="P008"/>
    <s v="Bookshelf"/>
    <x v="2"/>
    <n v="1"/>
    <n v="149.99"/>
    <s v="Debit Card"/>
    <x v="4"/>
    <s v="Standard"/>
    <d v="2023-10-01T00:00:00"/>
    <n v="149.99"/>
    <x v="8"/>
    <n v="2024"/>
    <d v="2026-03-22T12:21:03"/>
    <m/>
    <s v="Normal"/>
  </r>
  <r>
    <s v="TRX0224"/>
    <d v="2024-12-15T00:00:00"/>
    <s v="CUST031"/>
    <s v="Steven Turner"/>
    <s v="P007"/>
    <s v="Desk"/>
    <x v="2"/>
    <n v="2"/>
    <n v="299.99"/>
    <s v="Cash"/>
    <x v="4"/>
    <s v="Premium"/>
    <d v="2022-06-12T00:00:00"/>
    <n v="599.98"/>
    <x v="8"/>
    <n v="2024"/>
    <d v="2026-03-22T12:21:03"/>
    <m/>
    <s v="Normal"/>
  </r>
  <r>
    <s v="TRX0028"/>
    <d v="2024-12-18T00:00:00"/>
    <s v="CUST002"/>
    <s v="Emma Wilson"/>
    <s v="P005"/>
    <s v="Blender"/>
    <x v="1"/>
    <n v="2"/>
    <n v="59.99"/>
    <s v="Cash"/>
    <x v="3"/>
    <s v="Basic"/>
    <d v="2023-09-22T00:00:00"/>
    <n v="119.98"/>
    <x v="8"/>
    <n v="2024"/>
    <d v="2026-03-22T12:21:03"/>
    <m/>
    <s v="Normal"/>
  </r>
  <r>
    <s v="TRX0183"/>
    <d v="2024-12-19T00:00:00"/>
    <s v="CUST007"/>
    <s v="David Martinez"/>
    <s v="P010"/>
    <s v="Keyboard"/>
    <x v="0"/>
    <n v="1"/>
    <n v="89.99"/>
    <s v="Debit Card"/>
    <x v="0"/>
    <s v="Standard"/>
    <d v="2022-07-18T00:00:00"/>
    <n v="89.99"/>
    <x v="8"/>
    <n v="2024"/>
    <d v="2026-03-22T12:21:03"/>
    <m/>
    <s v="Normal"/>
  </r>
  <r>
    <s v="TRX0163"/>
    <d v="2024-12-19T00:00:00"/>
    <s v="CUST019"/>
    <s v="Daniel King"/>
    <s v="P001"/>
    <s v="Laptop"/>
    <x v="0"/>
    <n v="5"/>
    <n v="899.99"/>
    <s v="Debit Card"/>
    <x v="4"/>
    <s v="Standard"/>
    <d v="2022-03-05T00:00:00"/>
    <n v="4499.95"/>
    <x v="8"/>
    <n v="2024"/>
    <d v="2026-03-22T12:21:03"/>
    <m/>
    <s v="High Value"/>
  </r>
  <r>
    <s v="TRX0046"/>
    <d v="2024-12-20T00:00:00"/>
    <s v="CUST003"/>
    <s v="Michael Brown"/>
    <s v="P008"/>
    <s v="Bookshelf"/>
    <x v="2"/>
    <n v="2"/>
    <n v="149.99"/>
    <s v="Cash"/>
    <x v="1"/>
    <s v="Basic"/>
    <d v="2023-11-09T00:00:00"/>
    <n v="299.98"/>
    <x v="8"/>
    <n v="2024"/>
    <d v="2026-03-22T12:21:03"/>
    <m/>
    <s v="Normal"/>
  </r>
  <r>
    <s v="TRX0164"/>
    <d v="2024-12-22T00:00:00"/>
    <s v="CUST014"/>
    <s v="Linda Martin"/>
    <s v="P003"/>
    <s v="Headphones"/>
    <x v="0"/>
    <n v="2"/>
    <n v="149.99"/>
    <s v="Debit Card"/>
    <x v="3"/>
    <s v="Premium"/>
    <d v="2023-12-20T00:00:00"/>
    <n v="299.98"/>
    <x v="8"/>
    <n v="2024"/>
    <d v="2026-03-22T12:21:03"/>
    <m/>
    <s v="Normal"/>
  </r>
  <r>
    <s v="TRX0008"/>
    <d v="2024-12-22T00:00:00"/>
    <s v="CUST007"/>
    <s v="David Martinez"/>
    <s v="P008"/>
    <s v="Bookshelf"/>
    <x v="2"/>
    <n v="3"/>
    <n v="149.99"/>
    <s v="Debit Card"/>
    <x v="2"/>
    <s v="Standard"/>
    <d v="2021-11-22T00:00:00"/>
    <n v="449.97"/>
    <x v="8"/>
    <n v="2024"/>
    <d v="2026-03-22T12:21:03"/>
    <m/>
    <s v="Normal"/>
  </r>
  <r>
    <s v="TRX0171"/>
    <d v="2024-12-23T00:00:00"/>
    <s v="CUST021"/>
    <s v="Kevin Scott"/>
    <s v="P007"/>
    <s v="Desk"/>
    <x v="2"/>
    <n v="2"/>
    <n v="299.99"/>
    <s v="PayPal"/>
    <x v="1"/>
    <s v="Basic"/>
    <d v="2022-06-09T00:00:00"/>
    <n v="599.98"/>
    <x v="8"/>
    <n v="2024"/>
    <d v="2026-03-22T12:21:03"/>
    <m/>
    <s v="Normal"/>
  </r>
  <r>
    <s v="TRX0143"/>
    <d v="2024-12-28T00:00:00"/>
    <s v="CUST003"/>
    <s v="Michael Brown"/>
    <s v="P007"/>
    <s v="Desk"/>
    <x v="2"/>
    <n v="2"/>
    <n v="299.99"/>
    <s v="Cash"/>
    <x v="3"/>
    <s v="Basic"/>
    <d v="2022-07-29T00:00:00"/>
    <n v="599.98"/>
    <x v="8"/>
    <n v="2024"/>
    <d v="2026-03-22T12:21:03"/>
    <m/>
    <s v="Normal"/>
  </r>
  <r>
    <s v="TRX0165"/>
    <d v="2024-12-28T00:00:00"/>
    <s v="CUST030"/>
    <s v="Helen Roberts"/>
    <s v="P006"/>
    <s v="Office Chair"/>
    <x v="2"/>
    <n v="4"/>
    <n v="199.99"/>
    <s v="Credit Card"/>
    <x v="0"/>
    <s v="Basic"/>
    <d v="2021-11-23T00:00:00"/>
    <n v="799.96"/>
    <x v="8"/>
    <n v="2024"/>
    <d v="2026-03-22T12:21:03"/>
    <m/>
    <s v="Normal"/>
  </r>
  <r>
    <s v="TRX0156"/>
    <d v="2024-12-29T00:00:00"/>
    <s v="CUST009"/>
    <s v="Robert Thomas"/>
    <s v="P010"/>
    <s v="Keyboard"/>
    <x v="0"/>
    <n v="1"/>
    <n v="89.99"/>
    <s v="Credit Card"/>
    <x v="1"/>
    <s v="Premium"/>
    <d v="2022-01-30T00:00:00"/>
    <n v="89.99"/>
    <x v="8"/>
    <n v="2024"/>
    <d v="2026-03-22T12:21:03"/>
    <m/>
    <s v="Normal"/>
  </r>
  <r>
    <s v="TRX0147"/>
    <d v="2024-12-29T00:00:00"/>
    <s v="CUST036"/>
    <s v="Nancy Collins"/>
    <s v="P008"/>
    <s v="Bookshelf"/>
    <x v="2"/>
    <n v="5"/>
    <n v="149.99"/>
    <s v="Cash"/>
    <x v="0"/>
    <s v="Premium"/>
    <d v="2024-02-25T00:00:00"/>
    <n v="749.95"/>
    <x v="8"/>
    <n v="2024"/>
    <d v="2026-03-22T12:21:03"/>
    <m/>
    <s v="Normal"/>
  </r>
  <r>
    <s v="TRX0207"/>
    <d v="2024-12-31T00:00:00"/>
    <s v="CUST025"/>
    <s v="Mark Carter"/>
    <s v="P001"/>
    <s v="Laptop"/>
    <x v="0"/>
    <n v="1"/>
    <n v="899.99"/>
    <s v="PayPal"/>
    <x v="2"/>
    <s v="Premium"/>
    <d v="2023-05-04T00:00:00"/>
    <n v="899.99"/>
    <x v="8"/>
    <n v="2024"/>
    <d v="2026-03-22T12:21:03"/>
    <m/>
    <s v="Normal"/>
  </r>
  <r>
    <s v="TRX0056"/>
    <d v="2025-01-03T00:00:00"/>
    <s v="CUST019"/>
    <s v="Daniel King"/>
    <s v="P010"/>
    <s v="Keyboard"/>
    <x v="0"/>
    <n v="2"/>
    <n v="89.99"/>
    <s v="Credit Card"/>
    <x v="1"/>
    <s v="Premium"/>
    <d v="2022-01-03T00:00:00"/>
    <n v="179.98"/>
    <x v="9"/>
    <n v="2025"/>
    <d v="2026-03-22T12:21:03"/>
    <m/>
    <s v="Normal"/>
  </r>
  <r>
    <s v="TRX0026"/>
    <d v="2025-01-04T00:00:00"/>
    <s v="CUST037"/>
    <s v="Arthur Edwards"/>
    <s v="P001"/>
    <s v="Laptop"/>
    <x v="0"/>
    <n v="1"/>
    <n v="899.99"/>
    <s v="PayPal"/>
    <x v="2"/>
    <s v="Standard"/>
    <d v="2022-07-10T00:00:00"/>
    <n v="899.99"/>
    <x v="9"/>
    <n v="2025"/>
    <d v="2026-03-22T12:21:03"/>
    <m/>
    <s v="Normal"/>
  </r>
  <r>
    <s v="TRX0237"/>
    <d v="2025-01-06T00:00:00"/>
    <s v="CUST006"/>
    <s v="Lisa Anderson"/>
    <s v="P003"/>
    <s v="Headphones"/>
    <x v="0"/>
    <n v="5"/>
    <n v="149.99"/>
    <s v="PayPal"/>
    <x v="4"/>
    <s v="Premium"/>
    <d v="2022-09-20T00:00:00"/>
    <n v="749.95"/>
    <x v="9"/>
    <n v="2025"/>
    <d v="2026-03-22T12:21:03"/>
    <m/>
    <s v="Normal"/>
  </r>
  <r>
    <s v="TRX0091"/>
    <d v="2025-01-06T00:00:00"/>
    <s v="CUST003"/>
    <s v="Michael Brown"/>
    <s v="P007"/>
    <s v="Desk"/>
    <x v="2"/>
    <n v="3"/>
    <n v="299.99"/>
    <s v="Cash"/>
    <x v="1"/>
    <s v="Standard"/>
    <d v="2021-08-14T00:00:00"/>
    <n v="899.97"/>
    <x v="9"/>
    <n v="2025"/>
    <d v="2026-03-22T12:21:03"/>
    <m/>
    <s v="Normal"/>
  </r>
  <r>
    <s v="TRX0125"/>
    <d v="2025-01-09T00:00:00"/>
    <s v="CUST026"/>
    <s v="Karen Hill"/>
    <s v="P002"/>
    <s v="Smartphone"/>
    <x v="0"/>
    <n v="3"/>
    <n v="699.99"/>
    <s v="Credit Card"/>
    <x v="0"/>
    <s v="Premium"/>
    <d v="2023-06-28T00:00:00"/>
    <n v="2099.9699999999998"/>
    <x v="9"/>
    <n v="2025"/>
    <d v="2026-03-22T12:21:03"/>
    <m/>
    <s v="High Value"/>
  </r>
  <r>
    <s v="TRX0223"/>
    <d v="2025-01-10T00:00:00"/>
    <s v="CUST036"/>
    <s v="Nancy Collins"/>
    <s v="P006"/>
    <s v="Office Chair"/>
    <x v="2"/>
    <n v="5"/>
    <n v="199.99"/>
    <s v="PayPal"/>
    <x v="0"/>
    <s v="Standard"/>
    <d v="2022-03-13T00:00:00"/>
    <n v="999.95"/>
    <x v="9"/>
    <n v="2025"/>
    <d v="2026-03-22T12:21:03"/>
    <m/>
    <s v="Normal"/>
  </r>
  <r>
    <s v="TRX0243"/>
    <d v="2025-01-10T00:00:00"/>
    <s v="CUST048"/>
    <s v="Virginia Sanders"/>
    <s v="P009"/>
    <s v="Monitor"/>
    <x v="0"/>
    <n v="5"/>
    <n v="249.99"/>
    <s v="Credit Card"/>
    <x v="1"/>
    <s v="Basic"/>
    <d v="2024-02-08T00:00:00"/>
    <n v="1249.95"/>
    <x v="9"/>
    <n v="2025"/>
    <d v="2026-03-22T12:21:03"/>
    <m/>
    <s v="Normal"/>
  </r>
  <r>
    <s v="TRX0084"/>
    <d v="2025-01-11T00:00:00"/>
    <s v="CUST031"/>
    <s v="Steven Turner"/>
    <s v="P003"/>
    <s v="Headphones"/>
    <x v="0"/>
    <n v="4"/>
    <n v="149.99"/>
    <s v="Debit Card"/>
    <x v="4"/>
    <s v="Standard"/>
    <d v="2021-12-06T00:00:00"/>
    <n v="599.96"/>
    <x v="9"/>
    <n v="2025"/>
    <d v="2026-03-22T12:21:03"/>
    <m/>
    <s v="Normal"/>
  </r>
  <r>
    <s v="TRX0238"/>
    <d v="2025-01-11T00:00:00"/>
    <s v="CUST038"/>
    <s v="Michelle Rogers"/>
    <s v="P002"/>
    <s v="Smartphone"/>
    <x v="0"/>
    <n v="3"/>
    <n v="699.99"/>
    <s v="Cash"/>
    <x v="2"/>
    <s v="Premium"/>
    <d v="2022-02-10T00:00:00"/>
    <n v="2099.9699999999998"/>
    <x v="9"/>
    <n v="2025"/>
    <d v="2026-03-22T12:21:03"/>
    <m/>
    <s v="High Value"/>
  </r>
  <r>
    <s v="TRX0102"/>
    <d v="2025-01-13T00:00:00"/>
    <s v="CUST045"/>
    <s v="Douglas Watson"/>
    <s v="P004"/>
    <s v="Coffee Maker"/>
    <x v="1"/>
    <n v="1"/>
    <n v="79.989999999999995"/>
    <s v="Credit Card"/>
    <x v="1"/>
    <s v="Basic"/>
    <d v="2024-01-31T00:00:00"/>
    <n v="79.989999999999995"/>
    <x v="9"/>
    <n v="2025"/>
    <d v="2026-03-22T12:21:03"/>
    <m/>
    <s v="Normal"/>
  </r>
  <r>
    <s v="TRX0022"/>
    <d v="2025-01-13T00:00:00"/>
    <s v="CUST025"/>
    <s v="Mark Carter"/>
    <s v="P007"/>
    <s v="Desk"/>
    <x v="2"/>
    <n v="1"/>
    <n v="299.99"/>
    <s v="Credit Card"/>
    <x v="2"/>
    <s v="Basic"/>
    <d v="2021-08-28T00:00:00"/>
    <n v="299.99"/>
    <x v="9"/>
    <n v="2025"/>
    <d v="2026-03-22T12:21:03"/>
    <m/>
    <s v="Normal"/>
  </r>
  <r>
    <s v="TRX0087"/>
    <d v="2025-01-14T00:00:00"/>
    <s v="CUST028"/>
    <s v="Betty Campbell"/>
    <s v="P009"/>
    <s v="Monitor"/>
    <x v="0"/>
    <n v="4"/>
    <n v="249.99"/>
    <s v="Credit Card"/>
    <x v="2"/>
    <s v="Premium"/>
    <d v="2021-09-21T00:00:00"/>
    <n v="999.96"/>
    <x v="9"/>
    <n v="2025"/>
    <d v="2026-03-22T12:21:03"/>
    <m/>
    <s v="Normal"/>
  </r>
  <r>
    <s v="TRX0107"/>
    <d v="2025-01-14T00:00:00"/>
    <s v="CUST030"/>
    <s v="Helen Roberts"/>
    <s v="P003"/>
    <s v="Headphones"/>
    <x v="0"/>
    <n v="2"/>
    <n v="149.99"/>
    <s v="Cash"/>
    <x v="2"/>
    <s v="Standard"/>
    <d v="2022-12-18T00:00:00"/>
    <n v="299.98"/>
    <x v="9"/>
    <n v="2025"/>
    <d v="2026-03-22T12:21:03"/>
    <m/>
    <s v="Normal"/>
  </r>
  <r>
    <s v="TRX0051"/>
    <d v="2025-01-14T00:00:00"/>
    <s v="CUST032"/>
    <s v="Sandra Phillips"/>
    <s v="P007"/>
    <s v="Desk"/>
    <x v="2"/>
    <n v="3"/>
    <n v="299.99"/>
    <s v="Credit Card"/>
    <x v="1"/>
    <s v="Basic"/>
    <d v="2023-10-05T00:00:00"/>
    <n v="899.97"/>
    <x v="9"/>
    <n v="2025"/>
    <d v="2026-03-22T12:21:03"/>
    <m/>
    <s v="Normal"/>
  </r>
  <r>
    <s v="TRX0106"/>
    <d v="2025-01-16T00:00:00"/>
    <s v="CUST039"/>
    <s v="Lawrence Reed"/>
    <s v="P006"/>
    <s v="Office Chair"/>
    <x v="2"/>
    <n v="4"/>
    <n v="199.99"/>
    <s v="Debit Card"/>
    <x v="1"/>
    <s v="Standard"/>
    <d v="2021-12-14T00:00:00"/>
    <n v="799.96"/>
    <x v="9"/>
    <n v="2025"/>
    <d v="2026-03-22T12:21:03"/>
    <m/>
    <s v="Normal"/>
  </r>
  <r>
    <s v="TRX0059"/>
    <d v="2025-01-16T00:00:00"/>
    <s v="CUST016"/>
    <s v="Elizabeth Hall"/>
    <s v="P007"/>
    <s v="Desk"/>
    <x v="2"/>
    <n v="5"/>
    <n v="299.99"/>
    <s v="Debit Card"/>
    <x v="0"/>
    <s v="Basic"/>
    <d v="2021-08-23T00:00:00"/>
    <n v="1499.95"/>
    <x v="9"/>
    <n v="2025"/>
    <d v="2026-03-22T12:21:03"/>
    <m/>
    <s v="Normal"/>
  </r>
  <r>
    <s v="TRX0072"/>
    <d v="2025-01-16T00:00:00"/>
    <s v="CUST009"/>
    <s v="Robert Thomas"/>
    <s v="P008"/>
    <s v="Bookshelf"/>
    <x v="2"/>
    <n v="3"/>
    <n v="149.99"/>
    <s v="Credit Card"/>
    <x v="4"/>
    <s v="Standard"/>
    <d v="2021-07-18T00:00:00"/>
    <n v="449.97"/>
    <x v="9"/>
    <n v="2025"/>
    <d v="2026-03-22T12:21:03"/>
    <m/>
    <s v="Normal"/>
  </r>
  <r>
    <s v="TRX0110"/>
    <d v="2025-01-19T00:00:00"/>
    <s v="CUST006"/>
    <s v="Lisa Anderson"/>
    <s v="P005"/>
    <s v="Blender"/>
    <x v="1"/>
    <n v="5"/>
    <n v="59.99"/>
    <s v="Debit Card"/>
    <x v="4"/>
    <s v="Basic"/>
    <d v="2022-03-22T00:00:00"/>
    <n v="299.95"/>
    <x v="9"/>
    <n v="2025"/>
    <d v="2026-03-22T12:21:03"/>
    <m/>
    <s v="Normal"/>
  </r>
  <r>
    <s v="TRX0126"/>
    <d v="2025-01-25T00:00:00"/>
    <s v="CUST022"/>
    <s v="Susan Green"/>
    <s v="P005"/>
    <s v="Blender"/>
    <x v="1"/>
    <n v="4"/>
    <n v="59.99"/>
    <s v="Debit Card"/>
    <x v="4"/>
    <s v="Standard"/>
    <d v="2022-01-03T00:00:00"/>
    <n v="239.96"/>
    <x v="9"/>
    <n v="2025"/>
    <d v="2026-03-22T12:21:03"/>
    <m/>
    <s v="Normal"/>
  </r>
  <r>
    <s v="TRX0159"/>
    <d v="2025-01-26T00:00:00"/>
    <s v="CUST024"/>
    <s v="Dorothy Nelson"/>
    <s v="P009"/>
    <s v="Monitor"/>
    <x v="0"/>
    <n v="4"/>
    <n v="249.99"/>
    <s v="Debit Card"/>
    <x v="0"/>
    <s v="Premium"/>
    <d v="2023-10-18T00:00:00"/>
    <n v="999.96"/>
    <x v="9"/>
    <n v="2025"/>
    <d v="2026-03-22T12:21:03"/>
    <m/>
    <s v="Normal"/>
  </r>
  <r>
    <s v="TRX0030"/>
    <d v="2025-01-29T00:00:00"/>
    <s v="CUST011"/>
    <s v="William White"/>
    <s v="P001"/>
    <s v="Laptop"/>
    <x v="0"/>
    <n v="4"/>
    <n v="899.99"/>
    <s v="PayPal"/>
    <x v="0"/>
    <s v="Basic"/>
    <d v="2022-06-22T00:00:00"/>
    <n v="3599.96"/>
    <x v="9"/>
    <n v="2025"/>
    <d v="2026-03-22T12:21:03"/>
    <m/>
    <s v="High Value"/>
  </r>
  <r>
    <s v="TRX0178"/>
    <d v="2025-01-29T00:00:00"/>
    <s v="CUST025"/>
    <s v="Mark Carter"/>
    <s v="P007"/>
    <s v="Desk"/>
    <x v="2"/>
    <n v="3"/>
    <n v="299.99"/>
    <s v="Debit Card"/>
    <x v="3"/>
    <s v="Standard"/>
    <d v="2023-01-26T00:00:00"/>
    <n v="899.97"/>
    <x v="9"/>
    <n v="2025"/>
    <d v="2026-03-22T12:21:03"/>
    <m/>
    <s v="Normal"/>
  </r>
  <r>
    <s v="TRX0188"/>
    <d v="2025-01-29T00:00:00"/>
    <s v="CUST045"/>
    <s v="Douglas Watson"/>
    <s v="P002"/>
    <s v="Smartphone"/>
    <x v="0"/>
    <n v="2"/>
    <n v="699.99"/>
    <s v="Debit Card"/>
    <x v="0"/>
    <s v="Premium"/>
    <d v="2022-04-30T00:00:00"/>
    <n v="1399.98"/>
    <x v="9"/>
    <n v="2025"/>
    <d v="2026-03-22T12:21:03"/>
    <m/>
    <s v="Normal"/>
  </r>
  <r>
    <s v="TRX0010"/>
    <d v="2025-01-31T00:00:00"/>
    <s v="CUST026"/>
    <s v="Karen Hill"/>
    <s v="P002"/>
    <s v="Smartphone"/>
    <x v="0"/>
    <n v="4"/>
    <n v="699.99"/>
    <s v="Debit Card"/>
    <x v="3"/>
    <s v="Premium"/>
    <d v="2022-05-11T00:00:00"/>
    <n v="2799.96"/>
    <x v="9"/>
    <n v="2025"/>
    <d v="2026-03-22T12:21:03"/>
    <m/>
    <s v="High Value"/>
  </r>
  <r>
    <s v="TRX0069"/>
    <d v="2025-01-31T00:00:00"/>
    <s v="CUST029"/>
    <s v="Edward Mitchell"/>
    <s v="P010"/>
    <s v="Keyboard"/>
    <x v="0"/>
    <n v="2"/>
    <n v="89.99"/>
    <s v="Debit Card"/>
    <x v="1"/>
    <s v="Basic"/>
    <d v="2022-08-04T00:00:00"/>
    <n v="179.98"/>
    <x v="9"/>
    <n v="2025"/>
    <d v="2026-03-22T12:21:03"/>
    <m/>
    <s v="Normal"/>
  </r>
  <r>
    <s v="TRX0166"/>
    <d v="2025-01-31T00:00:00"/>
    <s v="CUST003"/>
    <s v="Michael Brown"/>
    <s v="P010"/>
    <s v="Keyboard"/>
    <x v="0"/>
    <n v="3"/>
    <n v="89.99"/>
    <s v="Debit Card"/>
    <x v="1"/>
    <s v="Premium"/>
    <d v="2024-01-16T00:00:00"/>
    <n v="269.97000000000003"/>
    <x v="9"/>
    <n v="2025"/>
    <d v="2026-03-22T12:21:03"/>
    <m/>
    <s v="Normal"/>
  </r>
  <r>
    <s v="TRX0219"/>
    <d v="2025-02-04T00:00:00"/>
    <s v="CUST037"/>
    <s v="Arthur Edwards"/>
    <s v="P005"/>
    <s v="Blender"/>
    <x v="1"/>
    <n v="1"/>
    <n v="59.99"/>
    <s v="Debit Card"/>
    <x v="0"/>
    <s v="Standard"/>
    <d v="2023-04-29T00:00:00"/>
    <n v="59.99"/>
    <x v="10"/>
    <n v="2025"/>
    <d v="2026-03-22T12:21:03"/>
    <m/>
    <s v="Normal"/>
  </r>
  <r>
    <s v="TRX0024"/>
    <d v="2025-02-07T00:00:00"/>
    <s v="CUST042"/>
    <s v="Ruth Brooks"/>
    <s v="P008"/>
    <s v="Bookshelf"/>
    <x v="2"/>
    <n v="3"/>
    <n v="149.99"/>
    <s v="Debit Card"/>
    <x v="2"/>
    <s v="Premium"/>
    <d v="2022-01-03T00:00:00"/>
    <n v="449.97"/>
    <x v="10"/>
    <n v="2025"/>
    <d v="2026-03-22T12:21:03"/>
    <m/>
    <s v="Normal"/>
  </r>
  <r>
    <s v="TRX0105"/>
    <d v="2025-02-07T00:00:00"/>
    <s v="CUST048"/>
    <s v="Virginia Sanders"/>
    <s v="P007"/>
    <s v="Desk"/>
    <x v="2"/>
    <n v="5"/>
    <n v="299.99"/>
    <s v="Credit Card"/>
    <x v="1"/>
    <s v="Basic"/>
    <d v="2023-02-02T00:00:00"/>
    <n v="1499.95"/>
    <x v="10"/>
    <n v="2025"/>
    <d v="2026-03-22T12:21:03"/>
    <m/>
    <s v="Normal"/>
  </r>
  <r>
    <s v="TRX0011"/>
    <d v="2025-02-08T00:00:00"/>
    <s v="CUST040"/>
    <s v="Sharon Butler"/>
    <s v="P005"/>
    <s v="Blender"/>
    <x v="1"/>
    <n v="5"/>
    <n v="59.99"/>
    <s v="Debit Card"/>
    <x v="0"/>
    <s v="Standard"/>
    <d v="2023-09-08T00:00:00"/>
    <n v="299.95"/>
    <x v="10"/>
    <n v="2025"/>
    <d v="2026-03-22T12:21:03"/>
    <m/>
    <s v="Normal"/>
  </r>
  <r>
    <s v="TRX0187"/>
    <d v="2025-02-13T00:00:00"/>
    <s v="CUST036"/>
    <s v="Nancy Collins"/>
    <s v="P004"/>
    <s v="Coffee Maker"/>
    <x v="1"/>
    <n v="3"/>
    <n v="79.989999999999995"/>
    <s v="Cash"/>
    <x v="4"/>
    <s v="Premium"/>
    <d v="2021-08-28T00:00:00"/>
    <n v="239.97"/>
    <x v="10"/>
    <n v="2025"/>
    <d v="2026-03-22T12:21:03"/>
    <m/>
    <s v="Normal"/>
  </r>
  <r>
    <s v="TRX0089"/>
    <d v="2025-02-16T00:00:00"/>
    <s v="CUST021"/>
    <s v="Kevin Scott"/>
    <s v="P006"/>
    <s v="Office Chair"/>
    <x v="2"/>
    <n v="3"/>
    <n v="199.99"/>
    <s v="Cash"/>
    <x v="0"/>
    <s v="Basic"/>
    <d v="2022-06-23T00:00:00"/>
    <n v="599.97"/>
    <x v="10"/>
    <n v="2025"/>
    <d v="2026-03-22T12:21:03"/>
    <m/>
    <s v="Normal"/>
  </r>
  <r>
    <s v="TRX0196"/>
    <d v="2025-02-16T00:00:00"/>
    <s v="CUST023"/>
    <s v="Paul Baker"/>
    <s v="P010"/>
    <s v="Keyboard"/>
    <x v="0"/>
    <n v="2"/>
    <n v="89.99"/>
    <s v="PayPal"/>
    <x v="0"/>
    <s v="Basic"/>
    <d v="2023-11-27T00:00:00"/>
    <n v="179.98"/>
    <x v="10"/>
    <n v="2025"/>
    <d v="2026-03-22T12:21:03"/>
    <m/>
    <s v="Normal"/>
  </r>
  <r>
    <s v="TRX0118"/>
    <d v="2025-02-17T00:00:00"/>
    <s v="CUST015"/>
    <s v="Richard Lee"/>
    <s v="P008"/>
    <s v="Bookshelf"/>
    <x v="2"/>
    <n v="2"/>
    <n v="149.99"/>
    <s v="Cash"/>
    <x v="1"/>
    <s v="Premium"/>
    <d v="2022-06-16T00:00:00"/>
    <n v="299.98"/>
    <x v="10"/>
    <n v="2025"/>
    <d v="2026-03-22T12:21:03"/>
    <m/>
    <s v="Normal"/>
  </r>
  <r>
    <s v="TRX0179"/>
    <d v="2025-02-19T00:00:00"/>
    <s v="CUST029"/>
    <s v="Edward Mitchell"/>
    <s v="P002"/>
    <s v="Smartphone"/>
    <x v="0"/>
    <n v="5"/>
    <n v="699.99"/>
    <s v="PayPal"/>
    <x v="1"/>
    <s v="Premium"/>
    <d v="2024-03-01T00:00:00"/>
    <n v="3499.95"/>
    <x v="10"/>
    <n v="2025"/>
    <d v="2026-03-22T12:21:03"/>
    <m/>
    <s v="High Value"/>
  </r>
  <r>
    <s v="TRX0168"/>
    <d v="2025-02-19T00:00:00"/>
    <s v="CUST003"/>
    <s v="Michael Brown"/>
    <s v="P008"/>
    <s v="Bookshelf"/>
    <x v="2"/>
    <n v="3"/>
    <n v="149.99"/>
    <s v="PayPal"/>
    <x v="0"/>
    <s v="Standard"/>
    <d v="2022-03-13T00:00:00"/>
    <n v="449.97"/>
    <x v="10"/>
    <n v="2025"/>
    <d v="2026-03-22T12:21:03"/>
    <m/>
    <s v="Normal"/>
  </r>
  <r>
    <s v="TRX0214"/>
    <d v="2025-02-20T00:00:00"/>
    <s v="CUST018"/>
    <s v="Barbara Young"/>
    <s v="P001"/>
    <s v="Laptop"/>
    <x v="0"/>
    <n v="3"/>
    <n v="899.99"/>
    <s v="Cash"/>
    <x v="4"/>
    <s v="Standard"/>
    <d v="2022-02-21T00:00:00"/>
    <n v="2699.97"/>
    <x v="10"/>
    <n v="2025"/>
    <d v="2026-03-22T12:21:03"/>
    <m/>
    <s v="High Value"/>
  </r>
  <r>
    <s v="TRX0221"/>
    <d v="2025-02-20T00:00:00"/>
    <s v="CUST033"/>
    <s v="Frank Torres"/>
    <s v="P006"/>
    <s v="Office Chair"/>
    <x v="2"/>
    <n v="3"/>
    <n v="199.99"/>
    <s v="Cash"/>
    <x v="3"/>
    <s v="Premium"/>
    <d v="2022-09-19T00:00:00"/>
    <n v="599.97"/>
    <x v="10"/>
    <n v="2025"/>
    <d v="2026-03-22T12:21:03"/>
    <m/>
    <s v="Normal"/>
  </r>
  <r>
    <s v="TRX0083"/>
    <d v="2025-02-22T00:00:00"/>
    <s v="CUST017"/>
    <s v="Charles Allen"/>
    <s v="P007"/>
    <s v="Desk"/>
    <x v="2"/>
    <n v="5"/>
    <n v="299.99"/>
    <s v="Cash"/>
    <x v="3"/>
    <s v="Standard"/>
    <d v="2023-08-04T00:00:00"/>
    <n v="1499.95"/>
    <x v="10"/>
    <n v="2025"/>
    <d v="2026-03-22T12:21:03"/>
    <m/>
    <s v="Normal"/>
  </r>
  <r>
    <s v="TRX0151"/>
    <d v="2025-02-22T00:00:00"/>
    <s v="CUST040"/>
    <s v="Sharon Butler"/>
    <s v="P002"/>
    <s v="Smartphone"/>
    <x v="0"/>
    <n v="1"/>
    <n v="699.99"/>
    <s v="PayPal"/>
    <x v="3"/>
    <s v="Basic"/>
    <d v="2023-01-08T00:00:00"/>
    <n v="699.99"/>
    <x v="10"/>
    <n v="2025"/>
    <d v="2026-03-22T12:21:03"/>
    <m/>
    <s v="Normal"/>
  </r>
  <r>
    <s v="TRX0047"/>
    <d v="2025-02-23T00:00:00"/>
    <s v="CUST042"/>
    <s v="Ruth Brooks"/>
    <s v="P002"/>
    <s v="Smartphone"/>
    <x v="0"/>
    <n v="1"/>
    <n v="699.99"/>
    <s v="Cash"/>
    <x v="2"/>
    <s v="Premium"/>
    <d v="2022-01-22T00:00:00"/>
    <n v="699.99"/>
    <x v="10"/>
    <n v="2025"/>
    <d v="2026-03-22T12:21:03"/>
    <m/>
    <s v="Normal"/>
  </r>
  <r>
    <s v="TRX0200"/>
    <d v="2025-02-23T00:00:00"/>
    <s v="CUST037"/>
    <s v="Arthur Edwards"/>
    <s v="P008"/>
    <s v="Bookshelf"/>
    <x v="2"/>
    <n v="4"/>
    <n v="149.99"/>
    <s v="PayPal"/>
    <x v="2"/>
    <s v="Premium"/>
    <d v="2021-08-04T00:00:00"/>
    <n v="599.96"/>
    <x v="10"/>
    <n v="2025"/>
    <d v="2026-03-22T12:21:03"/>
    <m/>
    <s v="Normal"/>
  </r>
  <r>
    <s v="TRX0062"/>
    <d v="2025-02-23T00:00:00"/>
    <s v="CUST016"/>
    <s v="Elizabeth Hall"/>
    <s v="P010"/>
    <s v="Keyboard"/>
    <x v="0"/>
    <n v="5"/>
    <n v="89.99"/>
    <s v="PayPal"/>
    <x v="3"/>
    <s v="Premium"/>
    <d v="2023-08-02T00:00:00"/>
    <n v="449.95"/>
    <x v="10"/>
    <n v="2025"/>
    <d v="2026-03-22T12:21:03"/>
    <m/>
    <s v="Normal"/>
  </r>
  <r>
    <s v="TRX0182"/>
    <d v="2025-02-24T00:00:00"/>
    <s v="CUST031"/>
    <s v="Steven Turner"/>
    <s v="P006"/>
    <s v="Office Chair"/>
    <x v="2"/>
    <n v="2"/>
    <n v="199.99"/>
    <s v="Cash"/>
    <x v="0"/>
    <s v="Premium"/>
    <d v="2022-01-12T00:00:00"/>
    <n v="399.98"/>
    <x v="10"/>
    <n v="2025"/>
    <d v="2026-03-22T12:21:03"/>
    <m/>
    <s v="Normal"/>
  </r>
  <r>
    <s v="TRX0229"/>
    <d v="2025-02-27T00:00:00"/>
    <s v="CUST015"/>
    <s v="Richard Lee"/>
    <s v="P005"/>
    <s v="Blender"/>
    <x v="1"/>
    <n v="4"/>
    <n v="59.99"/>
    <s v="Cash"/>
    <x v="3"/>
    <s v="Standard"/>
    <d v="2023-05-24T00:00:00"/>
    <n v="239.96"/>
    <x v="10"/>
    <n v="2025"/>
    <d v="2026-03-22T12:21:03"/>
    <m/>
    <s v="Normal"/>
  </r>
  <r>
    <s v="TRX0048"/>
    <d v="2025-02-27T00:00:00"/>
    <s v="CUST048"/>
    <s v="Virginia Sanders"/>
    <s v="P007"/>
    <s v="Desk"/>
    <x v="2"/>
    <n v="2"/>
    <n v="299.99"/>
    <s v="PayPal"/>
    <x v="1"/>
    <s v="Basic"/>
    <d v="2022-01-15T00:00:00"/>
    <n v="599.98"/>
    <x v="10"/>
    <n v="2025"/>
    <d v="2026-03-22T12:21:03"/>
    <m/>
    <s v="Normal"/>
  </r>
  <r>
    <s v="TRX0227"/>
    <d v="2025-03-02T00:00:00"/>
    <s v="CUST017"/>
    <s v="Charles Allen"/>
    <s v="P008"/>
    <s v="Bookshelf"/>
    <x v="2"/>
    <n v="2"/>
    <n v="149.99"/>
    <s v="Cash"/>
    <x v="0"/>
    <s v="Basic"/>
    <d v="2023-05-22T00:00:00"/>
    <n v="299.98"/>
    <x v="11"/>
    <n v="2025"/>
    <d v="2026-03-22T12:21:03"/>
    <m/>
    <s v="Normal"/>
  </r>
  <r>
    <s v="TRX0226"/>
    <d v="2025-03-04T00:00:00"/>
    <s v="CUST039"/>
    <s v="Lawrence Reed"/>
    <s v="P002"/>
    <s v="Smartphone"/>
    <x v="0"/>
    <n v="5"/>
    <n v="699.99"/>
    <s v="Debit Card"/>
    <x v="4"/>
    <s v="Premium"/>
    <d v="2023-08-23T00:00:00"/>
    <n v="3499.95"/>
    <x v="11"/>
    <n v="2025"/>
    <d v="2026-03-22T12:21:03"/>
    <m/>
    <s v="High Value"/>
  </r>
  <r>
    <s v="TRX0053"/>
    <d v="2025-03-05T00:00:00"/>
    <s v="CUST043"/>
    <s v="Dennis Gray"/>
    <s v="P005"/>
    <s v="Blender"/>
    <x v="1"/>
    <n v="5"/>
    <n v="59.99"/>
    <s v="Cash"/>
    <x v="3"/>
    <s v="Premium"/>
    <d v="2023-12-31T00:00:00"/>
    <n v="299.95"/>
    <x v="11"/>
    <n v="2025"/>
    <d v="2026-03-22T12:21:03"/>
    <m/>
    <s v="Normal"/>
  </r>
  <r>
    <s v="TRX0233"/>
    <d v="2025-03-07T00:00:00"/>
    <s v="CUST023"/>
    <s v="Paul Baker"/>
    <s v="P010"/>
    <s v="Keyboard"/>
    <x v="0"/>
    <n v="2"/>
    <n v="89.99"/>
    <s v="Credit Card"/>
    <x v="3"/>
    <s v="Premium"/>
    <d v="2024-01-04T00:00:00"/>
    <n v="179.98"/>
    <x v="11"/>
    <n v="2025"/>
    <d v="2026-03-22T12:21:03"/>
    <m/>
    <s v="Normal"/>
  </r>
  <r>
    <s v="TRX0175"/>
    <d v="2025-03-07T00:00:00"/>
    <s v="CUST030"/>
    <s v="Helen Roberts"/>
    <s v="P009"/>
    <s v="Monitor"/>
    <x v="0"/>
    <n v="5"/>
    <n v="249.99"/>
    <s v="Cash"/>
    <x v="4"/>
    <s v="Standard"/>
    <d v="2021-12-10T00:00:00"/>
    <n v="1249.95"/>
    <x v="11"/>
    <n v="2025"/>
    <d v="2026-03-22T12:21:03"/>
    <m/>
    <s v="Normal"/>
  </r>
  <r>
    <s v="TRX0186"/>
    <d v="2025-03-08T00:00:00"/>
    <s v="CUST039"/>
    <s v="Lawrence Reed"/>
    <s v="P008"/>
    <s v="Bookshelf"/>
    <x v="2"/>
    <n v="2"/>
    <n v="149.99"/>
    <s v="PayPal"/>
    <x v="0"/>
    <s v="Premium"/>
    <d v="2022-03-12T00:00:00"/>
    <n v="299.98"/>
    <x v="11"/>
    <n v="2025"/>
    <d v="2026-03-22T12:21:03"/>
    <m/>
    <s v="Normal"/>
  </r>
  <r>
    <s v="TRX0016"/>
    <d v="2025-03-08T00:00:00"/>
    <s v="CUST035"/>
    <s v="Harry Morgan"/>
    <s v="P001"/>
    <s v="Laptop"/>
    <x v="0"/>
    <n v="5"/>
    <n v="899.99"/>
    <s v="PayPal"/>
    <x v="4"/>
    <s v="Premium"/>
    <d v="2024-04-07T00:00:00"/>
    <n v="4499.95"/>
    <x v="11"/>
    <n v="2025"/>
    <d v="2026-03-22T12:21:03"/>
    <m/>
    <s v="High Value"/>
  </r>
  <r>
    <s v="TRX0199"/>
    <d v="2025-03-08T00:00:00"/>
    <s v="CUST017"/>
    <s v="Charles Allen"/>
    <s v="P008"/>
    <s v="Bookshelf"/>
    <x v="2"/>
    <n v="4"/>
    <n v="149.99"/>
    <s v="Cash"/>
    <x v="0"/>
    <s v="Standard"/>
    <d v="2023-12-03T00:00:00"/>
    <n v="599.96"/>
    <x v="11"/>
    <n v="2025"/>
    <d v="2026-03-22T12:21:03"/>
    <m/>
    <s v="Normal"/>
  </r>
  <r>
    <s v="TRX0038"/>
    <d v="2025-03-10T00:00:00"/>
    <s v="CUST035"/>
    <s v="Harry Morgan"/>
    <s v="P009"/>
    <s v="Monitor"/>
    <x v="0"/>
    <n v="1"/>
    <n v="249.99"/>
    <s v="Cash"/>
    <x v="2"/>
    <s v="Standard"/>
    <d v="2023-07-10T00:00:00"/>
    <n v="249.99"/>
    <x v="11"/>
    <n v="2025"/>
    <d v="2026-03-22T12:21:03"/>
    <m/>
    <s v="Normal"/>
  </r>
  <r>
    <s v="TRX0014"/>
    <d v="2025-03-18T00:00:00"/>
    <s v="CUST033"/>
    <s v="Frank Torres"/>
    <s v="P005"/>
    <s v="Blender"/>
    <x v="1"/>
    <n v="2"/>
    <n v="59.99"/>
    <s v="Credit Card"/>
    <x v="3"/>
    <s v="Basic"/>
    <d v="2023-09-24T00:00:00"/>
    <n v="119.98"/>
    <x v="11"/>
    <n v="2025"/>
    <d v="2026-03-22T12:21:03"/>
    <m/>
    <s v="Normal"/>
  </r>
  <r>
    <s v="TRX0003"/>
    <d v="2025-03-21T00:00:00"/>
    <s v="CUST002"/>
    <s v="Emma Wilson"/>
    <s v="P008"/>
    <s v="Bookshelf"/>
    <x v="2"/>
    <n v="2"/>
    <n v="149.99"/>
    <s v="Cash"/>
    <x v="3"/>
    <s v="Premium"/>
    <d v="2023-11-03T00:00:00"/>
    <n v="299.98"/>
    <x v="11"/>
    <n v="2025"/>
    <d v="2026-03-22T12:21:03"/>
    <m/>
    <s v="Normal"/>
  </r>
  <r>
    <s v="TRX0124"/>
    <d v="2025-03-21T00:00:00"/>
    <s v="CUST040"/>
    <s v="Sharon Butler"/>
    <s v="P001"/>
    <s v="Laptop"/>
    <x v="0"/>
    <n v="3"/>
    <n v="899.99"/>
    <s v="Debit Card"/>
    <x v="2"/>
    <s v="Premium"/>
    <d v="2022-11-11T00:00:00"/>
    <n v="2699.97"/>
    <x v="11"/>
    <n v="2025"/>
    <d v="2026-03-22T12:21:03"/>
    <m/>
    <s v="High Value"/>
  </r>
  <r>
    <s v="TRX0013"/>
    <d v="2025-03-21T00:00:00"/>
    <s v="CUST024"/>
    <s v="Dorothy Nelson"/>
    <s v="P001"/>
    <s v="Laptop"/>
    <x v="0"/>
    <n v="3"/>
    <n v="899.99"/>
    <s v="PayPal"/>
    <x v="2"/>
    <s v="Basic"/>
    <d v="2023-02-18T00:00:00"/>
    <n v="2699.97"/>
    <x v="11"/>
    <n v="2025"/>
    <d v="2026-03-22T12:21:03"/>
    <m/>
    <s v="High Value"/>
  </r>
  <r>
    <s v="TRX0019"/>
    <d v="2025-03-23T00:00:00"/>
    <s v="CUST023"/>
    <s v="Paul Baker"/>
    <s v="P007"/>
    <s v="Desk"/>
    <x v="2"/>
    <n v="3"/>
    <n v="299.99"/>
    <s v="Credit Card"/>
    <x v="3"/>
    <s v="Premium"/>
    <d v="2023-11-04T00:00:00"/>
    <n v="899.97"/>
    <x v="11"/>
    <n v="2025"/>
    <d v="2026-03-22T12:21:03"/>
    <m/>
    <s v="Normal"/>
  </r>
  <r>
    <s v="TRX0050"/>
    <d v="2025-03-24T00:00:00"/>
    <s v="CUST001"/>
    <s v="John Smith"/>
    <s v="P008"/>
    <s v="Bookshelf"/>
    <x v="2"/>
    <n v="4"/>
    <n v="149.99"/>
    <s v="PayPal"/>
    <x v="3"/>
    <s v="Standard"/>
    <d v="2021-12-30T00:00:00"/>
    <n v="599.96"/>
    <x v="11"/>
    <n v="2025"/>
    <d v="2026-03-22T12:21:03"/>
    <m/>
    <s v="Normal"/>
  </r>
  <r>
    <s v="TRX0152"/>
    <d v="2025-03-27T00:00:00"/>
    <s v="CUST044"/>
    <s v="Cynthia Price"/>
    <s v="P004"/>
    <s v="Coffee Maker"/>
    <x v="1"/>
    <n v="4"/>
    <n v="79.989999999999995"/>
    <s v="Credit Card"/>
    <x v="0"/>
    <s v="Basic"/>
    <d v="2023-12-28T00:00:00"/>
    <n v="319.95999999999998"/>
    <x v="11"/>
    <n v="2025"/>
    <d v="2026-03-22T12:21:03"/>
    <m/>
    <s v="Normal"/>
  </r>
  <r>
    <s v="TRX0213"/>
    <d v="2025-03-29T00:00:00"/>
    <s v="CUST020"/>
    <s v="Margaret Wright"/>
    <s v="P010"/>
    <s v="Keyboard"/>
    <x v="0"/>
    <n v="5"/>
    <n v="89.99"/>
    <s v="PayPal"/>
    <x v="1"/>
    <s v="Basic"/>
    <d v="2022-05-23T00:00:00"/>
    <n v="449.95"/>
    <x v="11"/>
    <n v="2025"/>
    <d v="2026-03-22T12:21:03"/>
    <m/>
    <s v="Normal"/>
  </r>
  <r>
    <s v="TRX0197"/>
    <d v="2025-03-30T00:00:00"/>
    <s v="CUST048"/>
    <s v="Virginia Sanders"/>
    <s v="P008"/>
    <s v="Bookshelf"/>
    <x v="2"/>
    <n v="3"/>
    <n v="149.99"/>
    <s v="PayPal"/>
    <x v="0"/>
    <s v="Standard"/>
    <d v="2023-09-02T00:00:00"/>
    <n v="449.97"/>
    <x v="11"/>
    <n v="2025"/>
    <d v="2026-03-22T12:21:03"/>
    <m/>
    <s v="Normal"/>
  </r>
  <r>
    <s v="TRX0250"/>
    <d v="2025-03-30T00:00:00"/>
    <s v="CUST026"/>
    <s v="Karen Hill"/>
    <s v="P010"/>
    <s v="Keyboard"/>
    <x v="0"/>
    <n v="2"/>
    <n v="89.99"/>
    <s v="Debit Card"/>
    <x v="3"/>
    <s v="Premium"/>
    <d v="2021-11-22T00:00:00"/>
    <n v="179.98"/>
    <x v="11"/>
    <n v="2025"/>
    <d v="2026-03-22T12:21:03"/>
    <m/>
    <s v="Normal"/>
  </r>
  <r>
    <s v="TRX0068"/>
    <d v="2025-04-01T00:00:00"/>
    <s v="CUST044"/>
    <s v="Cynthia Price"/>
    <s v="P002"/>
    <s v="Smartphone"/>
    <x v="0"/>
    <n v="2"/>
    <n v="699.99"/>
    <s v="PayPal"/>
    <x v="2"/>
    <s v="Standard"/>
    <d v="2022-02-26T00:00:00"/>
    <n v="1399.98"/>
    <x v="0"/>
    <n v="2025"/>
    <d v="2026-03-22T12:21:03"/>
    <m/>
    <s v="Normal"/>
  </r>
  <r>
    <s v="TRX0144"/>
    <d v="2025-04-02T00:00:00"/>
    <s v="CUST029"/>
    <s v="Edward Mitchell"/>
    <s v="P001"/>
    <s v="Laptop"/>
    <x v="0"/>
    <n v="3"/>
    <n v="899.99"/>
    <s v="Cash"/>
    <x v="0"/>
    <s v="Standard"/>
    <d v="2023-01-27T00:00:00"/>
    <n v="2699.97"/>
    <x v="0"/>
    <n v="2025"/>
    <d v="2026-03-22T12:21:03"/>
    <m/>
    <s v="High Value"/>
  </r>
  <r>
    <s v="TRX0039"/>
    <d v="2025-04-08T00:00:00"/>
    <s v="CUST048"/>
    <s v="Virginia Sanders"/>
    <s v="P004"/>
    <s v="Coffee Maker"/>
    <x v="1"/>
    <n v="3"/>
    <n v="79.989999999999995"/>
    <s v="Credit Card"/>
    <x v="2"/>
    <s v="Basic"/>
    <d v="2021-11-11T00:00:00"/>
    <n v="239.97"/>
    <x v="0"/>
    <n v="2025"/>
    <d v="2026-03-22T12:21:03"/>
    <m/>
    <s v="Normal"/>
  </r>
  <r>
    <s v="TRX0116"/>
    <d v="2025-04-09T00:00:00"/>
    <s v="CUST009"/>
    <s v="Robert Thomas"/>
    <s v="P010"/>
    <s v="Keyboard"/>
    <x v="0"/>
    <n v="1"/>
    <n v="89.99"/>
    <s v="Debit Card"/>
    <x v="4"/>
    <s v="Basic"/>
    <d v="2024-02-24T00:00:00"/>
    <n v="89.99"/>
    <x v="0"/>
    <n v="2025"/>
    <d v="2026-03-22T12:21:03"/>
    <m/>
    <s v="Normal"/>
  </r>
  <r>
    <s v="TRX0120"/>
    <d v="2025-04-11T00:00:00"/>
    <s v="CUST045"/>
    <s v="Douglas Watson"/>
    <s v="P002"/>
    <s v="Smartphone"/>
    <x v="0"/>
    <n v="3"/>
    <n v="699.99"/>
    <s v="PayPal"/>
    <x v="2"/>
    <s v="Basic"/>
    <d v="2022-12-14T00:00:00"/>
    <n v="2099.9699999999998"/>
    <x v="0"/>
    <n v="2025"/>
    <d v="2026-03-22T12:21:03"/>
    <m/>
    <s v="High Value"/>
  </r>
  <r>
    <s v="TRX0103"/>
    <d v="2025-04-11T00:00:00"/>
    <s v="CUST039"/>
    <s v="Lawrence Reed"/>
    <s v="P010"/>
    <s v="Keyboard"/>
    <x v="0"/>
    <n v="2"/>
    <n v="89.99"/>
    <s v="Debit Card"/>
    <x v="4"/>
    <s v="Basic"/>
    <d v="2023-06-11T00:00:00"/>
    <n v="179.98"/>
    <x v="0"/>
    <n v="2025"/>
    <d v="2026-03-22T12:21:03"/>
    <m/>
    <s v="Normal"/>
  </r>
  <r>
    <s v="TRX0064"/>
    <d v="2025-04-11T00:00:00"/>
    <s v="CUST031"/>
    <s v="Steven Turner"/>
    <s v="P010"/>
    <s v="Keyboard"/>
    <x v="0"/>
    <n v="3"/>
    <n v="89.99"/>
    <s v="Debit Card"/>
    <x v="2"/>
    <s v="Premium"/>
    <d v="2022-11-13T00:00:00"/>
    <n v="269.97000000000003"/>
    <x v="0"/>
    <n v="2025"/>
    <d v="2026-03-22T12:21:03"/>
    <m/>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B17" firstHeaderRow="1" firstDataRow="1" firstDataCol="1"/>
  <pivotFields count="19">
    <pivotField showAll="0"/>
    <pivotField numFmtId="14"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4" showAll="0"/>
    <pivotField dataField="1" showAll="0"/>
    <pivotField showAll="0"/>
    <pivotField showAll="0"/>
    <pivotField numFmtId="22" showAll="0"/>
    <pivotField showAll="0"/>
    <pivotField showAll="0"/>
  </pivotFields>
  <rowFields count="1">
    <field x="6"/>
  </rowFields>
  <rowItems count="4">
    <i>
      <x/>
    </i>
    <i>
      <x v="1"/>
    </i>
    <i>
      <x v="2"/>
    </i>
    <i t="grand">
      <x/>
    </i>
  </rowItems>
  <colItems count="1">
    <i/>
  </colItems>
  <dataFields count="1">
    <dataField name="Sum of Total_Amount" fld="13"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2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9">
    <pivotField showAll="0"/>
    <pivotField numFmtId="1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4" showAll="0"/>
    <pivotField dataField="1" showAll="0"/>
    <pivotField showAll="0"/>
    <pivotField showAll="0"/>
    <pivotField numFmtId="22"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2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B34" firstHeaderRow="1" firstDataRow="1" firstDataCol="1"/>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numFmtId="14" showAll="0"/>
    <pivotField dataField="1" showAll="0"/>
    <pivotField axis="axisRow" showAll="0">
      <items count="13">
        <item x="9"/>
        <item x="10"/>
        <item x="11"/>
        <item x="0"/>
        <item x="1"/>
        <item x="2"/>
        <item x="3"/>
        <item x="4"/>
        <item x="5"/>
        <item x="6"/>
        <item x="7"/>
        <item x="8"/>
        <item t="default"/>
      </items>
    </pivotField>
    <pivotField showAll="0"/>
    <pivotField numFmtId="22" showAll="0"/>
    <pivotField showAll="0"/>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2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3"/>
  </pivotTables>
  <data>
    <tabular pivotCacheId="1964889235">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5"/>
  </pivotTables>
  <data>
    <tabular pivotCacheId="196488923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6" name="PivotTable7"/>
  </pivotTables>
  <data>
    <tabular pivotCacheId="1964889235">
      <items count="12">
        <i x="9" s="1"/>
        <i x="10" s="1"/>
        <i x="11" s="1"/>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rowHeight="247650"/>
  <slicer name="Category" cache="Slicer_Category" caption="Category" rowHeight="247650"/>
  <slicer name="Month" cache="Slicer_Month" caption="Month" columnCount="4" rowHeight="247650"/>
</slicers>
</file>

<file path=xl/tables/table1.xml><?xml version="1.0" encoding="utf-8"?>
<table xmlns="http://schemas.openxmlformats.org/spreadsheetml/2006/main" id="7" name="Table7" displayName="Table7" ref="AH1:AH251" totalsRowShown="0">
  <autoFilter ref="AH1:AH251"/>
  <tableColumns count="1">
    <tableColumn id="1" name="Abbreviations">
      <calculatedColumnFormula>LEFT(D2,3)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8" name="Table8" displayName="Table8" ref="A1:S251" totalsRowShown="0" headerRowDxfId="20" tableBorderDxfId="19">
  <autoFilter ref="A1:S251"/>
  <tableColumns count="19">
    <tableColumn id="1" name="Transaction_ID" dataDxfId="18"/>
    <tableColumn id="2" name="Date" dataDxfId="17"/>
    <tableColumn id="3" name="Customer_ID" dataDxfId="16"/>
    <tableColumn id="4" name="Customer_Name" dataDxfId="15"/>
    <tableColumn id="5" name="Product_ID" dataDxfId="14"/>
    <tableColumn id="6" name="Product_Name" dataDxfId="13"/>
    <tableColumn id="7" name="Category" dataDxfId="12"/>
    <tableColumn id="8" name="Quantity" dataDxfId="11"/>
    <tableColumn id="9" name="Unit_Price" dataDxfId="10"/>
    <tableColumn id="10" name="Payment_Method" dataDxfId="9"/>
    <tableColumn id="11" name="Region" dataDxfId="8"/>
    <tableColumn id="12" name="Customer_Segment" dataDxfId="7"/>
    <tableColumn id="13" name="Customer_Since" dataDxfId="6"/>
    <tableColumn id="14" name="Total_Amount" dataDxfId="5">
      <calculatedColumnFormula>H2*I2</calculatedColumnFormula>
    </tableColumn>
    <tableColumn id="15" name="Month" dataDxfId="4">
      <calculatedColumnFormula>TEXT(Data!$B2,"mmm")</calculatedColumnFormula>
    </tableColumn>
    <tableColumn id="16" name="Year" dataDxfId="3">
      <calculatedColumnFormula>YEAR(Data!$B2)</calculatedColumnFormula>
    </tableColumn>
    <tableColumn id="17" name="Timestam" dataDxfId="2">
      <calculatedColumnFormula>NOW()</calculatedColumnFormula>
    </tableColumn>
    <tableColumn id="18" name="Most Sold Product" dataDxfId="1"/>
    <tableColumn id="19" name="High Value Customers" dataDxfId="0">
      <calculatedColumnFormula>IF(N2&gt;2000,"High Value","Normal")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AK251"/>
  <sheetViews>
    <sheetView topLeftCell="J1" workbookViewId="0">
      <selection activeCell="S251" sqref="S251"/>
    </sheetView>
  </sheetViews>
  <sheetFormatPr defaultRowHeight="14.25"/>
  <cols>
    <col min="1" max="1" width="15.5" customWidth="1"/>
    <col min="2" max="2" width="11.75" customWidth="1"/>
    <col min="3" max="3" width="13.75" customWidth="1"/>
    <col min="4" max="4" width="17" customWidth="1"/>
    <col min="5" max="5" width="12.375" customWidth="1"/>
    <col min="6" max="6" width="15.5" customWidth="1"/>
    <col min="7" max="7" width="10.5" customWidth="1"/>
    <col min="8" max="8" width="10.25" customWidth="1"/>
    <col min="9" max="9" width="11.5" customWidth="1"/>
    <col min="10" max="10" width="18.25" customWidth="1"/>
    <col min="12" max="12" width="19.5" customWidth="1"/>
    <col min="13" max="13" width="16.5" customWidth="1"/>
    <col min="14" max="14" width="15" customWidth="1"/>
    <col min="17" max="17" width="15.5" bestFit="1" customWidth="1"/>
    <col min="18" max="18" width="18.5" customWidth="1"/>
    <col min="19" max="19" width="21.25" customWidth="1"/>
    <col min="23" max="23" width="14.125" customWidth="1"/>
    <col min="25" max="25" width="12.75" customWidth="1"/>
    <col min="26" max="26" width="11.75" customWidth="1"/>
    <col min="29" max="29" width="12.25" customWidth="1"/>
    <col min="34" max="34" width="16" customWidth="1"/>
  </cols>
  <sheetData>
    <row r="1" spans="1:34" ht="29.45" customHeight="1" thickBot="1">
      <c r="A1" s="24" t="s">
        <v>0</v>
      </c>
      <c r="B1" s="25" t="s">
        <v>1</v>
      </c>
      <c r="C1" s="25" t="s">
        <v>2</v>
      </c>
      <c r="D1" s="25" t="s">
        <v>3</v>
      </c>
      <c r="E1" s="25" t="s">
        <v>4</v>
      </c>
      <c r="F1" s="25" t="s">
        <v>5</v>
      </c>
      <c r="G1" s="25" t="s">
        <v>6</v>
      </c>
      <c r="H1" s="25" t="s">
        <v>7</v>
      </c>
      <c r="I1" s="25" t="s">
        <v>8</v>
      </c>
      <c r="J1" s="25" t="s">
        <v>9</v>
      </c>
      <c r="K1" s="25" t="s">
        <v>10</v>
      </c>
      <c r="L1" s="25" t="s">
        <v>11</v>
      </c>
      <c r="M1" s="25" t="s">
        <v>12</v>
      </c>
      <c r="N1" s="25" t="s">
        <v>13</v>
      </c>
      <c r="O1" s="25" t="s">
        <v>399</v>
      </c>
      <c r="P1" s="25" t="s">
        <v>400</v>
      </c>
      <c r="Q1" s="25" t="s">
        <v>401</v>
      </c>
      <c r="R1" s="25" t="s">
        <v>407</v>
      </c>
      <c r="S1" s="25" t="s">
        <v>415</v>
      </c>
      <c r="T1" s="38" t="s">
        <v>427</v>
      </c>
      <c r="U1" s="39"/>
      <c r="V1" s="39"/>
      <c r="W1" s="39"/>
      <c r="X1" s="39"/>
      <c r="Y1" s="39"/>
      <c r="Z1" s="39"/>
      <c r="AA1" s="39"/>
      <c r="AB1" s="39"/>
      <c r="AC1" s="39"/>
      <c r="AD1" s="39"/>
      <c r="AE1" s="39"/>
      <c r="AF1" s="39"/>
      <c r="AG1" s="39"/>
      <c r="AH1" t="s">
        <v>453</v>
      </c>
    </row>
    <row r="2" spans="1:34" ht="15" thickBot="1">
      <c r="A2" s="19" t="s">
        <v>14</v>
      </c>
      <c r="B2" s="4">
        <v>45393</v>
      </c>
      <c r="C2" s="3" t="s">
        <v>15</v>
      </c>
      <c r="D2" s="3" t="s">
        <v>16</v>
      </c>
      <c r="E2" s="3" t="s">
        <v>17</v>
      </c>
      <c r="F2" s="3" t="s">
        <v>18</v>
      </c>
      <c r="G2" s="3" t="s">
        <v>19</v>
      </c>
      <c r="H2" s="5">
        <v>20.000800032001276</v>
      </c>
      <c r="I2" s="5">
        <v>900</v>
      </c>
      <c r="J2" s="3" t="s">
        <v>20</v>
      </c>
      <c r="K2" s="3" t="s">
        <v>21</v>
      </c>
      <c r="L2" s="3" t="s">
        <v>22</v>
      </c>
      <c r="M2" s="4">
        <v>44425</v>
      </c>
      <c r="N2" s="5">
        <f>H2*I2</f>
        <v>18000.720028801148</v>
      </c>
      <c r="O2" s="3" t="str">
        <f>TEXT(Data!$B2,"mmm")</f>
        <v>Apr</v>
      </c>
      <c r="P2" s="3">
        <f>YEAR(Data!$B2)</f>
        <v>2024</v>
      </c>
      <c r="Q2" s="6">
        <f t="shared" ref="Q2:Q65" ca="1" si="0">NOW()</f>
        <v>46122.659248495373</v>
      </c>
      <c r="R2" s="19" t="str" cm="1">
        <f t="array" ref="R2">INDEX(F2:F200,MODE(MATCH(F2:F200,F2:F200,0)))</f>
        <v>Bookshelf</v>
      </c>
      <c r="S2" s="19" t="str">
        <f>IF(N2&gt;2000,"High Value","Normal")</f>
        <v>High Value</v>
      </c>
      <c r="T2" s="26" t="str" cm="1">
        <f t="array" ref="T2:AG34">_xlfn._xlws.FILTER(A2:N200, K2:K200="West")</f>
        <v>TRX0092</v>
      </c>
      <c r="U2" s="35">
        <v>45403</v>
      </c>
      <c r="V2" s="35" t="str">
        <v>CUST024</v>
      </c>
      <c r="W2" s="35" t="str">
        <v>Dorothy Nelson</v>
      </c>
      <c r="X2" s="35" t="str">
        <v>P005</v>
      </c>
      <c r="Y2" s="35" t="str">
        <v>Blender</v>
      </c>
      <c r="Z2" s="35" t="str">
        <v>Appliances</v>
      </c>
      <c r="AA2" s="35">
        <v>2</v>
      </c>
      <c r="AB2" s="35">
        <v>59.99</v>
      </c>
      <c r="AC2" s="35" t="str">
        <v>Cash</v>
      </c>
      <c r="AD2" s="35" t="str">
        <v>West</v>
      </c>
      <c r="AE2" s="35" t="str">
        <v>Standard</v>
      </c>
      <c r="AF2" s="35">
        <v>44746</v>
      </c>
      <c r="AG2" s="35">
        <v>119.98</v>
      </c>
      <c r="AH2" t="str">
        <f t="shared" ref="AH2:AH65" si="1">LEFT(D2,3)</f>
        <v>Pau</v>
      </c>
    </row>
    <row r="3" spans="1:34" ht="15" thickBot="1">
      <c r="A3" s="22" t="s">
        <v>23</v>
      </c>
      <c r="B3" s="8">
        <v>45396</v>
      </c>
      <c r="C3" s="7" t="s">
        <v>24</v>
      </c>
      <c r="D3" s="7" t="s">
        <v>25</v>
      </c>
      <c r="E3" s="7" t="s">
        <v>17</v>
      </c>
      <c r="F3" s="7" t="s">
        <v>18</v>
      </c>
      <c r="G3" s="7" t="s">
        <v>19</v>
      </c>
      <c r="H3" s="2">
        <v>3</v>
      </c>
      <c r="I3" s="2">
        <v>249.99</v>
      </c>
      <c r="J3" s="7" t="s">
        <v>26</v>
      </c>
      <c r="K3" s="7" t="s">
        <v>21</v>
      </c>
      <c r="L3" s="7" t="s">
        <v>27</v>
      </c>
      <c r="M3" s="8">
        <v>44575</v>
      </c>
      <c r="N3" s="5">
        <f t="shared" ref="N3:N66" si="2">H3*I3</f>
        <v>749.97</v>
      </c>
      <c r="O3" s="7" t="str">
        <f>TEXT(Data!$B3,"mmm")</f>
        <v>Apr</v>
      </c>
      <c r="P3" s="9">
        <f>YEAR(Data!$B3)</f>
        <v>2024</v>
      </c>
      <c r="Q3" s="10">
        <f t="shared" ca="1" si="0"/>
        <v>46122.659248495373</v>
      </c>
      <c r="R3" s="20" t="str" cm="1">
        <f t="array" ref="R3">INDEX(F3:F201,MODE(MATCH(F3:F201,F3:F201,0)))</f>
        <v>Bookshelf</v>
      </c>
      <c r="S3" s="36" t="str">
        <f t="shared" ref="S3:S66" si="3">IF(N3&gt;2000,"High Value","Normal")</f>
        <v>Normal</v>
      </c>
      <c r="T3" s="27" t="str">
        <v>TRX0185</v>
      </c>
      <c r="U3">
        <v>45408</v>
      </c>
      <c r="V3" t="str">
        <v>CUST026</v>
      </c>
      <c r="W3" t="str">
        <v>Karen Hill</v>
      </c>
      <c r="X3" t="str">
        <v>P005</v>
      </c>
      <c r="Y3" t="str">
        <v>Blender</v>
      </c>
      <c r="Z3" t="str">
        <v>Appliances</v>
      </c>
      <c r="AA3">
        <v>3</v>
      </c>
      <c r="AB3">
        <v>59.99</v>
      </c>
      <c r="AC3" t="str">
        <v>Cash</v>
      </c>
      <c r="AD3" t="str">
        <v>West</v>
      </c>
      <c r="AE3" t="str">
        <v>Premium</v>
      </c>
      <c r="AF3">
        <v>45207</v>
      </c>
      <c r="AG3">
        <v>179.97</v>
      </c>
      <c r="AH3" t="str">
        <f t="shared" si="1"/>
        <v>Jos</v>
      </c>
    </row>
    <row r="4" spans="1:34" ht="15" thickBot="1">
      <c r="A4" s="19" t="s">
        <v>28</v>
      </c>
      <c r="B4" s="4">
        <v>45399</v>
      </c>
      <c r="C4" s="3" t="s">
        <v>29</v>
      </c>
      <c r="D4" s="3" t="s">
        <v>30</v>
      </c>
      <c r="E4" s="3" t="s">
        <v>31</v>
      </c>
      <c r="F4" s="3" t="s">
        <v>32</v>
      </c>
      <c r="G4" s="3" t="s">
        <v>33</v>
      </c>
      <c r="H4" s="5">
        <v>3</v>
      </c>
      <c r="I4" s="5">
        <v>59.99</v>
      </c>
      <c r="J4" s="3" t="s">
        <v>34</v>
      </c>
      <c r="K4" s="3" t="s">
        <v>35</v>
      </c>
      <c r="L4" s="3" t="s">
        <v>36</v>
      </c>
      <c r="M4" s="4">
        <v>45262</v>
      </c>
      <c r="N4" s="5">
        <f>H4*I4</f>
        <v>179.97</v>
      </c>
      <c r="O4" s="3" t="str">
        <f>TEXT(Data!$B4,"mmm")</f>
        <v>Apr</v>
      </c>
      <c r="P4" s="11">
        <f>YEAR(Data!$B4)</f>
        <v>2024</v>
      </c>
      <c r="Q4" s="12">
        <f t="shared" ca="1" si="0"/>
        <v>46122.659248495373</v>
      </c>
      <c r="R4" s="21" t="str" cm="1">
        <f t="array" ref="R4">INDEX(F4:F202,MODE(MATCH(F4:F202,F4:F202,0)))</f>
        <v>Bookshelf</v>
      </c>
      <c r="S4" s="19" t="str">
        <f t="shared" si="3"/>
        <v>Normal</v>
      </c>
      <c r="T4" s="26" t="str">
        <v>TRX0138</v>
      </c>
      <c r="U4" s="35">
        <v>45408</v>
      </c>
      <c r="V4" s="35" t="str">
        <v>CUST022</v>
      </c>
      <c r="W4" s="35" t="str">
        <v>Susan Green</v>
      </c>
      <c r="X4" s="35" t="str">
        <v>P008</v>
      </c>
      <c r="Y4" s="35" t="str">
        <v>Bookshelf</v>
      </c>
      <c r="Z4" s="35" t="str">
        <v>Furniture</v>
      </c>
      <c r="AA4" s="35">
        <v>1</v>
      </c>
      <c r="AB4" s="35">
        <v>149.99</v>
      </c>
      <c r="AC4" s="35" t="str">
        <v>Credit Card</v>
      </c>
      <c r="AD4" s="35" t="str">
        <v>West</v>
      </c>
      <c r="AE4" s="35" t="str">
        <v>Standard</v>
      </c>
      <c r="AF4" s="35">
        <v>45103</v>
      </c>
      <c r="AG4" s="35">
        <v>149.99</v>
      </c>
      <c r="AH4" t="str">
        <f t="shared" si="1"/>
        <v>Kev</v>
      </c>
    </row>
    <row r="5" spans="1:34" ht="15" thickBot="1">
      <c r="A5" s="22" t="s">
        <v>37</v>
      </c>
      <c r="B5" s="8">
        <v>45400</v>
      </c>
      <c r="C5" s="7" t="s">
        <v>38</v>
      </c>
      <c r="D5" s="7" t="s">
        <v>39</v>
      </c>
      <c r="E5" s="7" t="s">
        <v>31</v>
      </c>
      <c r="F5" s="7" t="s">
        <v>32</v>
      </c>
      <c r="G5" s="7" t="s">
        <v>33</v>
      </c>
      <c r="H5" s="2">
        <v>3</v>
      </c>
      <c r="I5" s="2">
        <v>59.99</v>
      </c>
      <c r="J5" s="7" t="s">
        <v>20</v>
      </c>
      <c r="K5" s="7" t="s">
        <v>40</v>
      </c>
      <c r="L5" s="7" t="s">
        <v>27</v>
      </c>
      <c r="M5" s="8">
        <v>45114</v>
      </c>
      <c r="N5" s="5">
        <f>H5*I5</f>
        <v>179.97</v>
      </c>
      <c r="O5" s="7" t="str">
        <f>TEXT(Data!$B5,"mmm")</f>
        <v>Apr</v>
      </c>
      <c r="P5" s="9">
        <f>YEAR(Data!$B5)</f>
        <v>2024</v>
      </c>
      <c r="Q5" s="10">
        <f t="shared" ca="1" si="0"/>
        <v>46122.659248495373</v>
      </c>
      <c r="R5" s="20" t="str" cm="1">
        <f t="array" ref="R5">INDEX(F5:F203,MODE(MATCH(F5:F203,F5:F203,0)))</f>
        <v>Bookshelf</v>
      </c>
      <c r="S5" s="36" t="str">
        <f t="shared" si="3"/>
        <v>Normal</v>
      </c>
      <c r="T5" s="27" t="str">
        <v>TRX0191</v>
      </c>
      <c r="U5">
        <v>45409</v>
      </c>
      <c r="V5" t="str">
        <v>CUST038</v>
      </c>
      <c r="W5" t="str">
        <v>Michelle Rogers</v>
      </c>
      <c r="X5" t="str">
        <v>P002</v>
      </c>
      <c r="Y5" t="str">
        <v>Smartphone</v>
      </c>
      <c r="Z5" t="str">
        <v>Electronics</v>
      </c>
      <c r="AA5">
        <v>3</v>
      </c>
      <c r="AB5">
        <v>699.99</v>
      </c>
      <c r="AC5" t="str">
        <v>Credit Card</v>
      </c>
      <c r="AD5" t="str">
        <v>West</v>
      </c>
      <c r="AE5" t="str">
        <v>Basic</v>
      </c>
      <c r="AF5">
        <v>44577</v>
      </c>
      <c r="AG5">
        <v>2099.9700000000003</v>
      </c>
      <c r="AH5" t="str">
        <f t="shared" si="1"/>
        <v>Kat</v>
      </c>
    </row>
    <row r="6" spans="1:34" ht="15" thickBot="1">
      <c r="A6" s="19" t="s">
        <v>41</v>
      </c>
      <c r="B6" s="4">
        <v>45400</v>
      </c>
      <c r="C6" s="3" t="s">
        <v>42</v>
      </c>
      <c r="D6" s="3" t="s">
        <v>43</v>
      </c>
      <c r="E6" s="3" t="s">
        <v>44</v>
      </c>
      <c r="F6" s="3" t="s">
        <v>45</v>
      </c>
      <c r="G6" s="3" t="s">
        <v>46</v>
      </c>
      <c r="H6" s="5">
        <v>5</v>
      </c>
      <c r="I6" s="5">
        <v>149.99</v>
      </c>
      <c r="J6" s="3" t="s">
        <v>26</v>
      </c>
      <c r="K6" s="3" t="s">
        <v>40</v>
      </c>
      <c r="L6" s="3" t="s">
        <v>27</v>
      </c>
      <c r="M6" s="4">
        <v>45295</v>
      </c>
      <c r="N6" s="5">
        <f t="shared" si="2"/>
        <v>749.95</v>
      </c>
      <c r="O6" s="3" t="str">
        <f>TEXT(Data!$B6,"mmm")</f>
        <v>Apr</v>
      </c>
      <c r="P6" s="11">
        <f>YEAR(Data!$B6)</f>
        <v>2024</v>
      </c>
      <c r="Q6" s="12">
        <f t="shared" ca="1" si="0"/>
        <v>46122.659248495373</v>
      </c>
      <c r="R6" s="21" t="str" cm="1">
        <f t="array" ref="R6">INDEX(F6:F204,MODE(MATCH(F6:F204,F6:F204,0)))</f>
        <v>Bookshelf</v>
      </c>
      <c r="S6" s="19" t="str">
        <f t="shared" si="3"/>
        <v>Normal</v>
      </c>
      <c r="T6" s="26" t="str">
        <v>TRX0122</v>
      </c>
      <c r="U6" s="35">
        <v>45410</v>
      </c>
      <c r="V6" s="35" t="str">
        <v>CUST025</v>
      </c>
      <c r="W6" s="35" t="str">
        <v>Mark Carter</v>
      </c>
      <c r="X6" s="35" t="str">
        <v>P001</v>
      </c>
      <c r="Y6" s="35" t="str">
        <v>Laptop</v>
      </c>
      <c r="Z6" s="35" t="str">
        <v>Electronics</v>
      </c>
      <c r="AA6" s="35">
        <v>4</v>
      </c>
      <c r="AB6" s="35">
        <v>899.99</v>
      </c>
      <c r="AC6" s="35" t="str">
        <v>Credit Card</v>
      </c>
      <c r="AD6" s="35" t="str">
        <v>West</v>
      </c>
      <c r="AE6" s="35" t="str">
        <v>Standard</v>
      </c>
      <c r="AF6" s="35">
        <v>45327</v>
      </c>
      <c r="AG6" s="35">
        <v>3599.96</v>
      </c>
      <c r="AH6" t="str">
        <f t="shared" si="1"/>
        <v>Mic</v>
      </c>
    </row>
    <row r="7" spans="1:34" ht="15" thickBot="1">
      <c r="A7" s="22" t="s">
        <v>47</v>
      </c>
      <c r="B7" s="8">
        <v>45403</v>
      </c>
      <c r="C7" s="7" t="s">
        <v>48</v>
      </c>
      <c r="D7" s="7" t="s">
        <v>49</v>
      </c>
      <c r="E7" s="7" t="s">
        <v>31</v>
      </c>
      <c r="F7" s="7" t="s">
        <v>32</v>
      </c>
      <c r="G7" s="7" t="s">
        <v>33</v>
      </c>
      <c r="H7" s="2">
        <v>2</v>
      </c>
      <c r="I7" s="2">
        <v>59.99</v>
      </c>
      <c r="J7" s="7" t="s">
        <v>20</v>
      </c>
      <c r="K7" s="7" t="s">
        <v>50</v>
      </c>
      <c r="L7" s="7" t="s">
        <v>36</v>
      </c>
      <c r="M7" s="8">
        <v>44746</v>
      </c>
      <c r="N7" s="5">
        <f t="shared" si="2"/>
        <v>119.98</v>
      </c>
      <c r="O7" s="7" t="str">
        <f>TEXT(Data!$B7,"mmm")</f>
        <v>Apr</v>
      </c>
      <c r="P7" s="9">
        <f>YEAR(Data!$B7)</f>
        <v>2024</v>
      </c>
      <c r="Q7" s="10">
        <f t="shared" ca="1" si="0"/>
        <v>46122.659248495373</v>
      </c>
      <c r="R7" s="20" t="str" cm="1">
        <f t="array" ref="R7">INDEX(F7:F205,MODE(MATCH(F7:F205,F7:F205,0)))</f>
        <v>Keyboard</v>
      </c>
      <c r="S7" s="36" t="str">
        <f t="shared" si="3"/>
        <v>Normal</v>
      </c>
      <c r="T7" s="27" t="str">
        <v>TRX0231</v>
      </c>
      <c r="U7">
        <v>45412</v>
      </c>
      <c r="V7" t="str">
        <v>CUST018</v>
      </c>
      <c r="W7" t="str">
        <v>Barbara Young</v>
      </c>
      <c r="X7" t="str">
        <v>P002</v>
      </c>
      <c r="Y7" t="str">
        <v>Smartphone</v>
      </c>
      <c r="Z7" t="str">
        <v>Electronics</v>
      </c>
      <c r="AA7">
        <v>5</v>
      </c>
      <c r="AB7">
        <v>699.99</v>
      </c>
      <c r="AC7" t="str">
        <v>Cash</v>
      </c>
      <c r="AD7" t="str">
        <v>West</v>
      </c>
      <c r="AE7" t="str">
        <v>Basic</v>
      </c>
      <c r="AF7">
        <v>45167</v>
      </c>
      <c r="AG7">
        <v>3499.95</v>
      </c>
      <c r="AH7" t="str">
        <f t="shared" si="1"/>
        <v>Dor</v>
      </c>
    </row>
    <row r="8" spans="1:34" ht="15" thickBot="1">
      <c r="A8" s="19" t="s">
        <v>51</v>
      </c>
      <c r="B8" s="4">
        <v>45403</v>
      </c>
      <c r="C8" s="3" t="s">
        <v>48</v>
      </c>
      <c r="D8" s="3" t="s">
        <v>49</v>
      </c>
      <c r="E8" s="3" t="s">
        <v>52</v>
      </c>
      <c r="F8" s="3" t="s">
        <v>53</v>
      </c>
      <c r="G8" s="3" t="s">
        <v>19</v>
      </c>
      <c r="H8" s="5">
        <v>5</v>
      </c>
      <c r="I8" s="5">
        <v>149.99</v>
      </c>
      <c r="J8" s="3" t="s">
        <v>26</v>
      </c>
      <c r="K8" s="3" t="s">
        <v>21</v>
      </c>
      <c r="L8" s="3" t="s">
        <v>36</v>
      </c>
      <c r="M8" s="4">
        <v>44418</v>
      </c>
      <c r="N8" s="5">
        <f t="shared" si="2"/>
        <v>749.95</v>
      </c>
      <c r="O8" s="3" t="str">
        <f>TEXT(Data!$B8,"mmm")</f>
        <v>Apr</v>
      </c>
      <c r="P8" s="11">
        <f>YEAR(Data!$B8)</f>
        <v>2024</v>
      </c>
      <c r="Q8" s="12">
        <f t="shared" ca="1" si="0"/>
        <v>46122.659248495373</v>
      </c>
      <c r="R8" s="21" t="str" cm="1">
        <f t="array" ref="R8">INDEX(F8:F206,MODE(MATCH(F8:F206,F8:F206,0)))</f>
        <v>Keyboard</v>
      </c>
      <c r="S8" s="19" t="str">
        <f t="shared" si="3"/>
        <v>Normal</v>
      </c>
      <c r="T8" s="26" t="str">
        <v>TRX0242</v>
      </c>
      <c r="U8" s="35">
        <v>45416</v>
      </c>
      <c r="V8" s="35" t="str">
        <v>CUST025</v>
      </c>
      <c r="W8" s="35" t="str">
        <v>Mark Carter</v>
      </c>
      <c r="X8" s="35" t="str">
        <v>P007</v>
      </c>
      <c r="Y8" s="35" t="str">
        <v>Desk</v>
      </c>
      <c r="Z8" s="35" t="str">
        <v>Furniture</v>
      </c>
      <c r="AA8" s="35">
        <v>4</v>
      </c>
      <c r="AB8" s="35">
        <v>299.99</v>
      </c>
      <c r="AC8" s="35" t="str">
        <v>Cash</v>
      </c>
      <c r="AD8" s="35" t="str">
        <v>West</v>
      </c>
      <c r="AE8" s="35" t="str">
        <v>Premium</v>
      </c>
      <c r="AF8" s="35">
        <v>44716</v>
      </c>
      <c r="AG8" s="35">
        <v>1199.96</v>
      </c>
      <c r="AH8" t="str">
        <f t="shared" si="1"/>
        <v>Dor</v>
      </c>
    </row>
    <row r="9" spans="1:34" ht="15" thickBot="1">
      <c r="A9" s="22" t="s">
        <v>54</v>
      </c>
      <c r="B9" s="8">
        <v>45403</v>
      </c>
      <c r="C9" s="7" t="s">
        <v>55</v>
      </c>
      <c r="D9" s="7" t="s">
        <v>56</v>
      </c>
      <c r="E9" s="7" t="s">
        <v>31</v>
      </c>
      <c r="F9" s="7" t="s">
        <v>32</v>
      </c>
      <c r="G9" s="7" t="s">
        <v>33</v>
      </c>
      <c r="H9" s="2">
        <v>3</v>
      </c>
      <c r="I9" s="2">
        <v>100</v>
      </c>
      <c r="J9" s="7" t="s">
        <v>57</v>
      </c>
      <c r="K9" s="7" t="s">
        <v>35</v>
      </c>
      <c r="L9" s="7" t="s">
        <v>22</v>
      </c>
      <c r="M9" s="8">
        <v>45007</v>
      </c>
      <c r="N9" s="5">
        <f t="shared" si="2"/>
        <v>300</v>
      </c>
      <c r="O9" s="7" t="str">
        <f>TEXT(Data!$B9,"mmm")</f>
        <v>Apr</v>
      </c>
      <c r="P9" s="9">
        <f>YEAR(Data!$B9)</f>
        <v>2024</v>
      </c>
      <c r="Q9" s="10">
        <f t="shared" ca="1" si="0"/>
        <v>46122.659248495373</v>
      </c>
      <c r="R9" s="20" t="str" cm="1">
        <f t="array" ref="R9">INDEX(F9:F207,MODE(MATCH(F9:F207,F9:F207,0)))</f>
        <v>Keyboard</v>
      </c>
      <c r="S9" s="36" t="str">
        <f t="shared" si="3"/>
        <v>Normal</v>
      </c>
      <c r="T9" s="27" t="str">
        <v>TRX0071</v>
      </c>
      <c r="U9">
        <v>45422</v>
      </c>
      <c r="V9" t="str">
        <v>CUST036</v>
      </c>
      <c r="W9" t="str">
        <v>Nancy Collins</v>
      </c>
      <c r="X9" t="str">
        <v>P009</v>
      </c>
      <c r="Y9" t="str">
        <v>Monitor</v>
      </c>
      <c r="Z9" t="str">
        <v>Electronics</v>
      </c>
      <c r="AA9">
        <v>5</v>
      </c>
      <c r="AB9">
        <v>249.99</v>
      </c>
      <c r="AC9" t="str">
        <v>Credit Card</v>
      </c>
      <c r="AD9" t="str">
        <v>West</v>
      </c>
      <c r="AE9" t="str">
        <v>Standard</v>
      </c>
      <c r="AF9">
        <v>44525</v>
      </c>
      <c r="AG9">
        <v>1249.95</v>
      </c>
      <c r="AH9" t="str">
        <f t="shared" si="1"/>
        <v>Cha</v>
      </c>
    </row>
    <row r="10" spans="1:34" ht="15" thickBot="1">
      <c r="A10" s="19" t="s">
        <v>58</v>
      </c>
      <c r="B10" s="4">
        <v>45405</v>
      </c>
      <c r="C10" s="3" t="s">
        <v>59</v>
      </c>
      <c r="D10" s="3" t="s">
        <v>60</v>
      </c>
      <c r="E10" s="3" t="s">
        <v>61</v>
      </c>
      <c r="F10" s="3" t="s">
        <v>62</v>
      </c>
      <c r="G10" s="3" t="s">
        <v>19</v>
      </c>
      <c r="H10" s="5">
        <v>3</v>
      </c>
      <c r="I10" s="5">
        <v>899.99</v>
      </c>
      <c r="J10" s="3" t="s">
        <v>34</v>
      </c>
      <c r="K10" s="3" t="s">
        <v>63</v>
      </c>
      <c r="L10" s="3" t="s">
        <v>36</v>
      </c>
      <c r="M10" s="4">
        <v>45299</v>
      </c>
      <c r="N10" s="5">
        <f t="shared" si="2"/>
        <v>2699.9700000000003</v>
      </c>
      <c r="O10" s="3" t="str">
        <f>TEXT(Data!$B10,"mmm")</f>
        <v>Apr</v>
      </c>
      <c r="P10" s="11">
        <f>YEAR(Data!$B10)</f>
        <v>2024</v>
      </c>
      <c r="Q10" s="12">
        <f t="shared" ca="1" si="0"/>
        <v>46122.659248495373</v>
      </c>
      <c r="R10" s="21" t="str" cm="1">
        <f t="array" ref="R10">INDEX(F10:F208,MODE(MATCH(F10:F208,F10:F208,0)))</f>
        <v>Keyboard</v>
      </c>
      <c r="S10" s="19" t="str">
        <f t="shared" si="3"/>
        <v>High Value</v>
      </c>
      <c r="T10" s="26" t="str">
        <v>TRX0194</v>
      </c>
      <c r="U10" s="35">
        <v>45428</v>
      </c>
      <c r="V10" s="35" t="str">
        <v>CUST006</v>
      </c>
      <c r="W10" s="35" t="str">
        <v>Lisa Anderson</v>
      </c>
      <c r="X10" s="35" t="str">
        <v>P008</v>
      </c>
      <c r="Y10" s="35" t="str">
        <v>Bookshelf</v>
      </c>
      <c r="Z10" s="35" t="str">
        <v>Furniture</v>
      </c>
      <c r="AA10" s="35">
        <v>2</v>
      </c>
      <c r="AB10" s="35">
        <v>149.99</v>
      </c>
      <c r="AC10" s="35" t="str">
        <v>Credit Card</v>
      </c>
      <c r="AD10" s="35" t="str">
        <v>West</v>
      </c>
      <c r="AE10" s="35" t="str">
        <v>Basic</v>
      </c>
      <c r="AF10" s="35">
        <v>44823</v>
      </c>
      <c r="AG10" s="35">
        <v>299.98</v>
      </c>
      <c r="AH10" t="str">
        <f t="shared" si="1"/>
        <v>Rob</v>
      </c>
    </row>
    <row r="11" spans="1:34" ht="15" thickBot="1">
      <c r="A11" s="22" t="s">
        <v>64</v>
      </c>
      <c r="B11" s="8">
        <v>45408</v>
      </c>
      <c r="C11" s="7" t="s">
        <v>65</v>
      </c>
      <c r="D11" s="7" t="s">
        <v>66</v>
      </c>
      <c r="E11" s="7" t="s">
        <v>31</v>
      </c>
      <c r="F11" s="7" t="s">
        <v>32</v>
      </c>
      <c r="G11" s="7" t="s">
        <v>33</v>
      </c>
      <c r="H11" s="2">
        <v>3</v>
      </c>
      <c r="I11" s="2">
        <v>59.99</v>
      </c>
      <c r="J11" s="7" t="s">
        <v>20</v>
      </c>
      <c r="K11" s="7" t="s">
        <v>50</v>
      </c>
      <c r="L11" s="7" t="s">
        <v>27</v>
      </c>
      <c r="M11" s="8">
        <v>45207</v>
      </c>
      <c r="N11" s="5">
        <f t="shared" si="2"/>
        <v>179.97</v>
      </c>
      <c r="O11" s="7" t="str">
        <f>TEXT(Data!$B11,"mmm")</f>
        <v>Apr</v>
      </c>
      <c r="P11" s="9">
        <f>YEAR(Data!$B11)</f>
        <v>2024</v>
      </c>
      <c r="Q11" s="10">
        <f t="shared" ca="1" si="0"/>
        <v>46122.659248495373</v>
      </c>
      <c r="R11" s="20" t="str" cm="1">
        <f t="array" ref="R11">INDEX(F11:F209,MODE(MATCH(F11:F209,F11:F209,0)))</f>
        <v>Keyboard</v>
      </c>
      <c r="S11" s="36" t="str">
        <f t="shared" si="3"/>
        <v>Normal</v>
      </c>
      <c r="T11" s="27" t="str">
        <v>TRX0130</v>
      </c>
      <c r="U11">
        <v>45430</v>
      </c>
      <c r="V11" t="str">
        <v>CUST002</v>
      </c>
      <c r="W11" t="str">
        <v>Emma Wilson</v>
      </c>
      <c r="X11" t="str">
        <v>P008</v>
      </c>
      <c r="Y11" t="str">
        <v>Bookshelf</v>
      </c>
      <c r="Z11" t="str">
        <v>Furniture</v>
      </c>
      <c r="AA11">
        <v>3</v>
      </c>
      <c r="AB11">
        <v>149.99</v>
      </c>
      <c r="AC11" t="str">
        <v>Credit Card</v>
      </c>
      <c r="AD11" t="str">
        <v>West</v>
      </c>
      <c r="AE11" t="str">
        <v>Premium</v>
      </c>
      <c r="AF11">
        <v>45068</v>
      </c>
      <c r="AG11">
        <v>449.97</v>
      </c>
      <c r="AH11" t="str">
        <f t="shared" si="1"/>
        <v>Kar</v>
      </c>
    </row>
    <row r="12" spans="1:34" ht="15" thickBot="1">
      <c r="A12" s="19" t="s">
        <v>67</v>
      </c>
      <c r="B12" s="4">
        <v>45408</v>
      </c>
      <c r="C12" s="3" t="s">
        <v>68</v>
      </c>
      <c r="D12" s="3" t="s">
        <v>69</v>
      </c>
      <c r="E12" s="3" t="s">
        <v>44</v>
      </c>
      <c r="F12" s="3" t="s">
        <v>45</v>
      </c>
      <c r="G12" s="3" t="s">
        <v>46</v>
      </c>
      <c r="H12" s="5">
        <v>1</v>
      </c>
      <c r="I12" s="5">
        <v>149.99</v>
      </c>
      <c r="J12" s="3" t="s">
        <v>26</v>
      </c>
      <c r="K12" s="3" t="s">
        <v>50</v>
      </c>
      <c r="L12" s="3" t="s">
        <v>36</v>
      </c>
      <c r="M12" s="4">
        <v>45103</v>
      </c>
      <c r="N12" s="5">
        <f t="shared" si="2"/>
        <v>149.99</v>
      </c>
      <c r="O12" s="3" t="str">
        <f>TEXT(Data!$B12,"mmm")</f>
        <v>Apr</v>
      </c>
      <c r="P12" s="11">
        <f>YEAR(Data!$B12)</f>
        <v>2024</v>
      </c>
      <c r="Q12" s="12">
        <f t="shared" ca="1" si="0"/>
        <v>46122.659248495373</v>
      </c>
      <c r="R12" s="21" t="str" cm="1">
        <f t="array" ref="R12">INDEX(F12:F210,MODE(MATCH(F12:F210,F12:F210,0)))</f>
        <v>Keyboard</v>
      </c>
      <c r="S12" s="19" t="str">
        <f t="shared" si="3"/>
        <v>Normal</v>
      </c>
      <c r="T12" s="26" t="str">
        <v>TRX0041</v>
      </c>
      <c r="U12" s="35">
        <v>45432</v>
      </c>
      <c r="V12" s="35" t="str">
        <v>CUST021</v>
      </c>
      <c r="W12" s="35" t="str">
        <v>Kevin Scott</v>
      </c>
      <c r="X12" s="35" t="str">
        <v>P001</v>
      </c>
      <c r="Y12" s="35" t="str">
        <v>Laptop</v>
      </c>
      <c r="Z12" s="35" t="str">
        <v>Electronics</v>
      </c>
      <c r="AA12" s="35">
        <v>1</v>
      </c>
      <c r="AB12" s="35">
        <v>899.99</v>
      </c>
      <c r="AC12" s="35" t="str">
        <v>Credit Card</v>
      </c>
      <c r="AD12" s="35" t="str">
        <v>West</v>
      </c>
      <c r="AE12" s="35" t="str">
        <v>Premium</v>
      </c>
      <c r="AF12" s="35">
        <v>44578</v>
      </c>
      <c r="AG12" s="35">
        <v>899.99</v>
      </c>
      <c r="AH12" t="str">
        <f t="shared" si="1"/>
        <v>Sus</v>
      </c>
    </row>
    <row r="13" spans="1:34" ht="15" thickBot="1">
      <c r="A13" s="22" t="s">
        <v>70</v>
      </c>
      <c r="B13" s="8">
        <v>45408</v>
      </c>
      <c r="C13" s="7" t="s">
        <v>38</v>
      </c>
      <c r="D13" s="7" t="s">
        <v>39</v>
      </c>
      <c r="E13" s="7" t="s">
        <v>44</v>
      </c>
      <c r="F13" s="7" t="s">
        <v>45</v>
      </c>
      <c r="G13" s="7" t="s">
        <v>46</v>
      </c>
      <c r="H13" s="2">
        <v>5</v>
      </c>
      <c r="I13" s="2">
        <v>149.99</v>
      </c>
      <c r="J13" s="7" t="s">
        <v>57</v>
      </c>
      <c r="K13" s="7" t="s">
        <v>40</v>
      </c>
      <c r="L13" s="7" t="s">
        <v>22</v>
      </c>
      <c r="M13" s="8">
        <v>44830</v>
      </c>
      <c r="N13" s="5">
        <f t="shared" si="2"/>
        <v>749.95</v>
      </c>
      <c r="O13" s="7" t="str">
        <f>TEXT(Data!$B13,"mmm")</f>
        <v>Apr</v>
      </c>
      <c r="P13" s="9">
        <f>YEAR(Data!$B13)</f>
        <v>2024</v>
      </c>
      <c r="Q13" s="10">
        <f t="shared" ca="1" si="0"/>
        <v>46122.659248495373</v>
      </c>
      <c r="R13" s="20" t="str" cm="1">
        <f t="array" ref="R13">INDEX(F13:F211,MODE(MATCH(F13:F211,F13:F211,0)))</f>
        <v>Keyboard</v>
      </c>
      <c r="S13" s="36" t="str">
        <f t="shared" si="3"/>
        <v>Normal</v>
      </c>
      <c r="T13" s="27" t="str">
        <v>TRX0015</v>
      </c>
      <c r="U13">
        <v>45440</v>
      </c>
      <c r="V13" t="str">
        <v>CUST008</v>
      </c>
      <c r="W13" t="str">
        <v>Jennifer Taylor</v>
      </c>
      <c r="X13" t="str">
        <v>P002</v>
      </c>
      <c r="Y13" t="str">
        <v>Smartphone</v>
      </c>
      <c r="Z13" t="str">
        <v>Electronics</v>
      </c>
      <c r="AA13">
        <v>5</v>
      </c>
      <c r="AB13">
        <v>699.99</v>
      </c>
      <c r="AC13" t="str">
        <v>PayPal</v>
      </c>
      <c r="AD13" t="str">
        <v>West</v>
      </c>
      <c r="AE13" t="str">
        <v>Standard</v>
      </c>
      <c r="AF13">
        <v>44407</v>
      </c>
      <c r="AG13">
        <v>3499.95</v>
      </c>
      <c r="AH13" t="str">
        <f t="shared" si="1"/>
        <v>Kat</v>
      </c>
    </row>
    <row r="14" spans="1:34" ht="15" thickBot="1">
      <c r="A14" s="19" t="s">
        <v>71</v>
      </c>
      <c r="B14" s="4">
        <v>45408</v>
      </c>
      <c r="C14" s="3" t="s">
        <v>72</v>
      </c>
      <c r="D14" s="3" t="s">
        <v>73</v>
      </c>
      <c r="E14" s="3" t="s">
        <v>44</v>
      </c>
      <c r="F14" s="3" t="s">
        <v>45</v>
      </c>
      <c r="G14" s="3" t="s">
        <v>46</v>
      </c>
      <c r="H14" s="5">
        <v>3</v>
      </c>
      <c r="I14" s="5">
        <v>149.99</v>
      </c>
      <c r="J14" s="3" t="s">
        <v>20</v>
      </c>
      <c r="K14" s="3" t="s">
        <v>40</v>
      </c>
      <c r="L14" s="3" t="s">
        <v>27</v>
      </c>
      <c r="M14" s="4">
        <v>44806</v>
      </c>
      <c r="N14" s="5">
        <f t="shared" si="2"/>
        <v>449.97</v>
      </c>
      <c r="O14" s="3" t="str">
        <f>TEXT(Data!$B14,"mmm")</f>
        <v>Apr</v>
      </c>
      <c r="P14" s="11">
        <f>YEAR(Data!$B14)</f>
        <v>2024</v>
      </c>
      <c r="Q14" s="12">
        <f t="shared" ca="1" si="0"/>
        <v>46122.659248495373</v>
      </c>
      <c r="R14" s="21" t="str" cm="1">
        <f t="array" ref="R14">INDEX(F14:F212,MODE(MATCH(F14:F212,F14:F212,0)))</f>
        <v>Keyboard</v>
      </c>
      <c r="S14" s="19" t="str">
        <f t="shared" si="3"/>
        <v>Normal</v>
      </c>
      <c r="T14" s="26" t="str">
        <v>TRX0128</v>
      </c>
      <c r="U14" s="35">
        <v>45444</v>
      </c>
      <c r="V14" s="35" t="str">
        <v>CUST040</v>
      </c>
      <c r="W14" s="35" t="str">
        <v>Sharon Butler</v>
      </c>
      <c r="X14" s="35" t="str">
        <v>P005</v>
      </c>
      <c r="Y14" s="35" t="str">
        <v>Blender</v>
      </c>
      <c r="Z14" s="35" t="str">
        <v>Appliances</v>
      </c>
      <c r="AA14" s="35">
        <v>2</v>
      </c>
      <c r="AB14" s="35">
        <v>59.99</v>
      </c>
      <c r="AC14" s="35" t="str">
        <v>Cash</v>
      </c>
      <c r="AD14" s="35" t="str">
        <v>West</v>
      </c>
      <c r="AE14" s="35" t="str">
        <v>Basic</v>
      </c>
      <c r="AF14" s="35">
        <v>45390</v>
      </c>
      <c r="AG14" s="35">
        <v>119.98</v>
      </c>
      <c r="AH14" t="str">
        <f t="shared" si="1"/>
        <v>Pet</v>
      </c>
    </row>
    <row r="15" spans="1:34" ht="15" thickBot="1">
      <c r="A15" s="22" t="s">
        <v>74</v>
      </c>
      <c r="B15" s="8">
        <v>45409</v>
      </c>
      <c r="C15" s="7" t="s">
        <v>75</v>
      </c>
      <c r="D15" s="7" t="s">
        <v>76</v>
      </c>
      <c r="E15" s="7" t="s">
        <v>31</v>
      </c>
      <c r="F15" s="7" t="s">
        <v>32</v>
      </c>
      <c r="G15" s="7" t="s">
        <v>33</v>
      </c>
      <c r="H15" s="2">
        <v>3</v>
      </c>
      <c r="I15" s="2">
        <v>59.99</v>
      </c>
      <c r="J15" s="7" t="s">
        <v>26</v>
      </c>
      <c r="K15" s="7" t="s">
        <v>40</v>
      </c>
      <c r="L15" s="7" t="s">
        <v>36</v>
      </c>
      <c r="M15" s="8">
        <v>45351</v>
      </c>
      <c r="N15" s="5">
        <f t="shared" si="2"/>
        <v>179.97</v>
      </c>
      <c r="O15" s="7" t="str">
        <f>TEXT(Data!$B15,"mmm")</f>
        <v>Apr</v>
      </c>
      <c r="P15" s="9">
        <f>YEAR(Data!$B15)</f>
        <v>2024</v>
      </c>
      <c r="Q15" s="10">
        <f t="shared" ca="1" si="0"/>
        <v>46122.659248495373</v>
      </c>
      <c r="R15" s="20" t="str" cm="1">
        <f t="array" ref="R15">INDEX(F15:F213,MODE(MATCH(F15:F213,F15:F213,0)))</f>
        <v>Keyboard</v>
      </c>
      <c r="S15" s="36" t="str">
        <f t="shared" si="3"/>
        <v>Normal</v>
      </c>
      <c r="T15" s="27" t="str">
        <v>TRX0061</v>
      </c>
      <c r="U15">
        <v>45460</v>
      </c>
      <c r="V15" t="str">
        <v>CUST028</v>
      </c>
      <c r="W15" t="str">
        <v>Betty Campbell</v>
      </c>
      <c r="X15" t="str">
        <v>P005</v>
      </c>
      <c r="Y15" t="str">
        <v>Blender</v>
      </c>
      <c r="Z15" t="str">
        <v>Appliances</v>
      </c>
      <c r="AA15">
        <v>1</v>
      </c>
      <c r="AB15">
        <v>59.99</v>
      </c>
      <c r="AC15" t="str">
        <v>Debit Card</v>
      </c>
      <c r="AD15" t="str">
        <v>West</v>
      </c>
      <c r="AE15" t="str">
        <v>Premium</v>
      </c>
      <c r="AF15">
        <v>45190</v>
      </c>
      <c r="AG15">
        <v>59.99</v>
      </c>
      <c r="AH15" t="str">
        <f t="shared" si="1"/>
        <v>Den</v>
      </c>
    </row>
    <row r="16" spans="1:34" ht="15" thickBot="1">
      <c r="A16" s="19" t="s">
        <v>77</v>
      </c>
      <c r="B16" s="4">
        <v>45409</v>
      </c>
      <c r="C16" s="3" t="s">
        <v>78</v>
      </c>
      <c r="D16" s="3" t="s">
        <v>79</v>
      </c>
      <c r="E16" s="3" t="s">
        <v>80</v>
      </c>
      <c r="F16" s="3" t="s">
        <v>81</v>
      </c>
      <c r="G16" s="3" t="s">
        <v>19</v>
      </c>
      <c r="H16" s="5">
        <v>3</v>
      </c>
      <c r="I16" s="5">
        <v>699.99</v>
      </c>
      <c r="J16" s="3" t="s">
        <v>26</v>
      </c>
      <c r="K16" s="3" t="s">
        <v>50</v>
      </c>
      <c r="L16" s="3" t="s">
        <v>22</v>
      </c>
      <c r="M16" s="4">
        <v>44577</v>
      </c>
      <c r="N16" s="5">
        <f t="shared" si="2"/>
        <v>2099.9700000000003</v>
      </c>
      <c r="O16" s="3" t="str">
        <f>TEXT(Data!$B16,"mmm")</f>
        <v>Apr</v>
      </c>
      <c r="P16" s="11">
        <f>YEAR(Data!$B16)</f>
        <v>2024</v>
      </c>
      <c r="Q16" s="12">
        <f t="shared" ca="1" si="0"/>
        <v>46122.659248495373</v>
      </c>
      <c r="R16" s="21" t="str" cm="1">
        <f t="array" ref="R16">INDEX(F16:F214,MODE(MATCH(F16:F214,F16:F214,0)))</f>
        <v>Keyboard</v>
      </c>
      <c r="S16" s="19" t="str">
        <f t="shared" si="3"/>
        <v>High Value</v>
      </c>
      <c r="T16" s="26" t="str">
        <v>TRX0007</v>
      </c>
      <c r="U16" s="35">
        <v>45469</v>
      </c>
      <c r="V16" s="35" t="str">
        <v>CUST009</v>
      </c>
      <c r="W16" s="35" t="str">
        <v>Robert Thomas</v>
      </c>
      <c r="X16" s="35" t="str">
        <v>P010</v>
      </c>
      <c r="Y16" s="35" t="str">
        <v>Keyboard</v>
      </c>
      <c r="Z16" s="35" t="str">
        <v>Electronics</v>
      </c>
      <c r="AA16" s="35">
        <v>2</v>
      </c>
      <c r="AB16" s="35">
        <v>89.99</v>
      </c>
      <c r="AC16" s="35" t="str">
        <v>Cash</v>
      </c>
      <c r="AD16" s="35" t="str">
        <v>West</v>
      </c>
      <c r="AE16" s="35" t="str">
        <v>Basic</v>
      </c>
      <c r="AF16" s="35">
        <v>44438</v>
      </c>
      <c r="AG16" s="35">
        <v>179.98</v>
      </c>
      <c r="AH16" t="str">
        <f t="shared" si="1"/>
        <v>Mic</v>
      </c>
    </row>
    <row r="17" spans="1:37" ht="15" thickBot="1">
      <c r="A17" s="22" t="s">
        <v>82</v>
      </c>
      <c r="B17" s="8">
        <v>45409</v>
      </c>
      <c r="C17" s="7" t="s">
        <v>83</v>
      </c>
      <c r="D17" s="7" t="s">
        <v>84</v>
      </c>
      <c r="E17" s="7" t="s">
        <v>61</v>
      </c>
      <c r="F17" s="7" t="s">
        <v>62</v>
      </c>
      <c r="G17" s="7" t="s">
        <v>19</v>
      </c>
      <c r="H17" s="2">
        <v>1</v>
      </c>
      <c r="I17" s="2">
        <v>899.99</v>
      </c>
      <c r="J17" s="7" t="s">
        <v>57</v>
      </c>
      <c r="K17" s="7" t="s">
        <v>40</v>
      </c>
      <c r="L17" s="7" t="s">
        <v>36</v>
      </c>
      <c r="M17" s="8">
        <v>44920</v>
      </c>
      <c r="N17" s="5">
        <f t="shared" si="2"/>
        <v>899.99</v>
      </c>
      <c r="O17" s="7" t="str">
        <f>TEXT(Data!$B17,"mmm")</f>
        <v>Apr</v>
      </c>
      <c r="P17" s="9">
        <f>YEAR(Data!$B17)</f>
        <v>2024</v>
      </c>
      <c r="Q17" s="10">
        <f t="shared" ca="1" si="0"/>
        <v>46122.659248495373</v>
      </c>
      <c r="R17" s="20" t="str" cm="1">
        <f t="array" ref="R17">INDEX(F17:F215,MODE(MATCH(F17:F215,F17:F215,0)))</f>
        <v>Keyboard</v>
      </c>
      <c r="S17" s="36" t="str">
        <f t="shared" si="3"/>
        <v>Normal</v>
      </c>
      <c r="T17" s="27" t="str">
        <v>TRX0192</v>
      </c>
      <c r="U17">
        <v>45475</v>
      </c>
      <c r="V17" t="str">
        <v>CUST017</v>
      </c>
      <c r="W17" t="str">
        <v>Charles Allen</v>
      </c>
      <c r="X17" t="str">
        <v>P010</v>
      </c>
      <c r="Y17" t="str">
        <v>Keyboard</v>
      </c>
      <c r="Z17" t="str">
        <v>Electronics</v>
      </c>
      <c r="AA17">
        <v>1</v>
      </c>
      <c r="AB17">
        <v>89.99</v>
      </c>
      <c r="AC17" t="str">
        <v>PayPal</v>
      </c>
      <c r="AD17" t="str">
        <v>West</v>
      </c>
      <c r="AE17" t="str">
        <v>Standard</v>
      </c>
      <c r="AF17">
        <v>44802</v>
      </c>
      <c r="AG17">
        <v>89.99</v>
      </c>
      <c r="AH17" t="str">
        <f t="shared" si="1"/>
        <v>Geo</v>
      </c>
    </row>
    <row r="18" spans="1:37" ht="15" thickBot="1">
      <c r="A18" s="19" t="s">
        <v>85</v>
      </c>
      <c r="B18" s="4">
        <v>45410</v>
      </c>
      <c r="C18" s="3" t="s">
        <v>86</v>
      </c>
      <c r="D18" s="3" t="s">
        <v>87</v>
      </c>
      <c r="E18" s="3" t="s">
        <v>44</v>
      </c>
      <c r="F18" s="3" t="s">
        <v>45</v>
      </c>
      <c r="G18" s="3" t="s">
        <v>46</v>
      </c>
      <c r="H18" s="5">
        <v>4</v>
      </c>
      <c r="I18" s="5">
        <v>149.99</v>
      </c>
      <c r="J18" s="3" t="s">
        <v>57</v>
      </c>
      <c r="K18" s="3" t="s">
        <v>40</v>
      </c>
      <c r="L18" s="3" t="s">
        <v>27</v>
      </c>
      <c r="M18" s="4">
        <v>45374</v>
      </c>
      <c r="N18" s="5">
        <f t="shared" si="2"/>
        <v>599.96</v>
      </c>
      <c r="O18" s="3" t="str">
        <f>TEXT(Data!$B18,"mmm")</f>
        <v>Apr</v>
      </c>
      <c r="P18" s="11">
        <f>YEAR(Data!$B18)</f>
        <v>2024</v>
      </c>
      <c r="Q18" s="12">
        <f t="shared" ca="1" si="0"/>
        <v>46122.659248495373</v>
      </c>
      <c r="R18" s="21" t="str" cm="1">
        <f t="array" ref="R18">INDEX(F18:F216,MODE(MATCH(F18:F216,F18:F216,0)))</f>
        <v>Keyboard</v>
      </c>
      <c r="S18" s="19" t="str">
        <f t="shared" si="3"/>
        <v>Normal</v>
      </c>
      <c r="T18" s="26" t="str">
        <v>TRX0169</v>
      </c>
      <c r="U18" s="35">
        <v>45490</v>
      </c>
      <c r="V18" s="35" t="str">
        <v>CUST047</v>
      </c>
      <c r="W18" s="35" t="str">
        <v>Gerald Murphy</v>
      </c>
      <c r="X18" s="35" t="str">
        <v>P005</v>
      </c>
      <c r="Y18" s="35" t="str">
        <v>Blender</v>
      </c>
      <c r="Z18" s="35" t="str">
        <v>Appliances</v>
      </c>
      <c r="AA18" s="35">
        <v>3</v>
      </c>
      <c r="AB18" s="35">
        <v>59.99</v>
      </c>
      <c r="AC18" s="35" t="str">
        <v>Credit Card</v>
      </c>
      <c r="AD18" s="35" t="str">
        <v>West</v>
      </c>
      <c r="AE18" s="35" t="str">
        <v>Basic</v>
      </c>
      <c r="AF18" s="35">
        <v>45130</v>
      </c>
      <c r="AG18" s="35">
        <v>179.97</v>
      </c>
      <c r="AH18" t="str">
        <f t="shared" si="1"/>
        <v>Mar</v>
      </c>
    </row>
    <row r="19" spans="1:37" ht="15" thickBot="1">
      <c r="A19" s="22" t="s">
        <v>88</v>
      </c>
      <c r="B19" s="8">
        <v>45410</v>
      </c>
      <c r="C19" s="7" t="s">
        <v>89</v>
      </c>
      <c r="D19" s="7" t="s">
        <v>90</v>
      </c>
      <c r="E19" s="7" t="s">
        <v>80</v>
      </c>
      <c r="F19" s="7" t="s">
        <v>81</v>
      </c>
      <c r="G19" s="7" t="s">
        <v>19</v>
      </c>
      <c r="H19" s="2">
        <v>2</v>
      </c>
      <c r="I19" s="2">
        <v>699.99</v>
      </c>
      <c r="J19" s="7" t="s">
        <v>20</v>
      </c>
      <c r="K19" s="7" t="s">
        <v>40</v>
      </c>
      <c r="L19" s="7" t="s">
        <v>22</v>
      </c>
      <c r="M19" s="8">
        <v>44781</v>
      </c>
      <c r="N19" s="5">
        <f t="shared" si="2"/>
        <v>1399.98</v>
      </c>
      <c r="O19" s="7" t="str">
        <f>TEXT(Data!$B19,"mmm")</f>
        <v>Apr</v>
      </c>
      <c r="P19" s="9">
        <f>YEAR(Data!$B19)</f>
        <v>2024</v>
      </c>
      <c r="Q19" s="10">
        <f t="shared" ca="1" si="0"/>
        <v>46122.659248495373</v>
      </c>
      <c r="R19" s="20" t="str" cm="1">
        <f t="array" ref="R19">INDEX(F19:F217,MODE(MATCH(F19:F217,F19:F217,0)))</f>
        <v>Keyboard</v>
      </c>
      <c r="S19" s="36" t="str">
        <f t="shared" si="3"/>
        <v>Normal</v>
      </c>
      <c r="T19" s="27" t="str">
        <v>TRX0065</v>
      </c>
      <c r="U19">
        <v>45509</v>
      </c>
      <c r="V19" t="str">
        <v>CUST016</v>
      </c>
      <c r="W19" t="str">
        <v>Elizabeth Hall</v>
      </c>
      <c r="X19" t="str">
        <v>P008</v>
      </c>
      <c r="Y19" t="str">
        <v>Bookshelf</v>
      </c>
      <c r="Z19" t="str">
        <v>Furniture</v>
      </c>
      <c r="AA19">
        <v>2</v>
      </c>
      <c r="AB19">
        <v>149.99</v>
      </c>
      <c r="AC19" t="str">
        <v>Credit Card</v>
      </c>
      <c r="AD19" t="str">
        <v>West</v>
      </c>
      <c r="AE19" t="str">
        <v>Basic</v>
      </c>
      <c r="AF19">
        <v>44542</v>
      </c>
      <c r="AG19">
        <v>299.98</v>
      </c>
      <c r="AH19" t="str">
        <f t="shared" si="1"/>
        <v>Mar</v>
      </c>
    </row>
    <row r="20" spans="1:37" ht="15" thickBot="1">
      <c r="A20" s="19" t="s">
        <v>91</v>
      </c>
      <c r="B20" s="4">
        <v>45410</v>
      </c>
      <c r="C20" s="3" t="s">
        <v>86</v>
      </c>
      <c r="D20" s="3" t="s">
        <v>87</v>
      </c>
      <c r="E20" s="3" t="s">
        <v>61</v>
      </c>
      <c r="F20" s="3" t="s">
        <v>62</v>
      </c>
      <c r="G20" s="3" t="s">
        <v>19</v>
      </c>
      <c r="H20" s="5">
        <v>4</v>
      </c>
      <c r="I20" s="5">
        <v>899.99</v>
      </c>
      <c r="J20" s="3" t="s">
        <v>26</v>
      </c>
      <c r="K20" s="3" t="s">
        <v>50</v>
      </c>
      <c r="L20" s="3" t="s">
        <v>36</v>
      </c>
      <c r="M20" s="4">
        <v>45327</v>
      </c>
      <c r="N20" s="5">
        <f t="shared" si="2"/>
        <v>3599.96</v>
      </c>
      <c r="O20" s="3" t="str">
        <f>TEXT(Data!$B20,"mmm")</f>
        <v>Apr</v>
      </c>
      <c r="P20" s="11">
        <f>YEAR(Data!$B20)</f>
        <v>2024</v>
      </c>
      <c r="Q20" s="12">
        <f t="shared" ca="1" si="0"/>
        <v>46122.659248495373</v>
      </c>
      <c r="R20" s="21" t="str" cm="1">
        <f t="array" ref="R20">INDEX(F20:F218,MODE(MATCH(F20:F218,F20:F218,0)))</f>
        <v>Keyboard</v>
      </c>
      <c r="S20" s="19" t="str">
        <f t="shared" si="3"/>
        <v>High Value</v>
      </c>
      <c r="T20" s="26" t="str">
        <v>TRX0170</v>
      </c>
      <c r="U20" s="35">
        <v>45532</v>
      </c>
      <c r="V20" s="35" t="str">
        <v>CUST034</v>
      </c>
      <c r="W20" s="35" t="str">
        <v>Carol Evans</v>
      </c>
      <c r="X20" s="35" t="str">
        <v>P003</v>
      </c>
      <c r="Y20" s="35" t="str">
        <v>Headphones</v>
      </c>
      <c r="Z20" s="35" t="str">
        <v>Electronics</v>
      </c>
      <c r="AA20" s="35">
        <v>3</v>
      </c>
      <c r="AB20" s="35">
        <v>149.99</v>
      </c>
      <c r="AC20" s="35" t="str">
        <v>Cash</v>
      </c>
      <c r="AD20" s="35" t="str">
        <v>West</v>
      </c>
      <c r="AE20" s="35" t="str">
        <v>Premium</v>
      </c>
      <c r="AF20" s="35">
        <v>45212</v>
      </c>
      <c r="AG20" s="35">
        <v>449.97</v>
      </c>
      <c r="AH20" t="str">
        <f t="shared" si="1"/>
        <v>Mar</v>
      </c>
    </row>
    <row r="21" spans="1:37" ht="15" thickBot="1">
      <c r="A21" s="22" t="s">
        <v>92</v>
      </c>
      <c r="B21" s="8">
        <v>45410</v>
      </c>
      <c r="C21" s="7" t="s">
        <v>93</v>
      </c>
      <c r="D21" s="7" t="s">
        <v>94</v>
      </c>
      <c r="E21" s="7" t="s">
        <v>17</v>
      </c>
      <c r="F21" s="7" t="s">
        <v>18</v>
      </c>
      <c r="G21" s="7" t="s">
        <v>19</v>
      </c>
      <c r="H21" s="2">
        <v>3</v>
      </c>
      <c r="I21" s="2">
        <v>249.99</v>
      </c>
      <c r="J21" s="7" t="s">
        <v>26</v>
      </c>
      <c r="K21" s="7" t="s">
        <v>40</v>
      </c>
      <c r="L21" s="7" t="s">
        <v>27</v>
      </c>
      <c r="M21" s="8">
        <v>45224</v>
      </c>
      <c r="N21" s="5">
        <f t="shared" si="2"/>
        <v>749.97</v>
      </c>
      <c r="O21" s="7" t="str">
        <f>TEXT(Data!$B21,"mmm")</f>
        <v>Apr</v>
      </c>
      <c r="P21" s="9">
        <f>YEAR(Data!$B21)</f>
        <v>2024</v>
      </c>
      <c r="Q21" s="10">
        <f t="shared" ca="1" si="0"/>
        <v>46122.659248495373</v>
      </c>
      <c r="R21" s="20" t="str" cm="1">
        <f t="array" ref="R21">INDEX(F21:F219,MODE(MATCH(F21:F219,F21:F219,0)))</f>
        <v>Keyboard</v>
      </c>
      <c r="S21" s="36" t="str">
        <f t="shared" si="3"/>
        <v>Normal</v>
      </c>
      <c r="T21" s="27" t="str">
        <v>TRX0099</v>
      </c>
      <c r="U21">
        <v>45537</v>
      </c>
      <c r="V21" t="str">
        <v>CUST034</v>
      </c>
      <c r="W21" t="str">
        <v>Carol Evans</v>
      </c>
      <c r="X21" t="str">
        <v>P009</v>
      </c>
      <c r="Y21" t="str">
        <v>Monitor</v>
      </c>
      <c r="Z21" t="str">
        <v>Electronics</v>
      </c>
      <c r="AA21">
        <v>1</v>
      </c>
      <c r="AB21">
        <v>249.99</v>
      </c>
      <c r="AC21" t="str">
        <v>Credit Card</v>
      </c>
      <c r="AD21" t="str">
        <v>West</v>
      </c>
      <c r="AE21" t="str">
        <v>Premium</v>
      </c>
      <c r="AF21">
        <v>44685</v>
      </c>
      <c r="AG21">
        <v>249.99</v>
      </c>
      <c r="AH21" t="str">
        <f t="shared" si="1"/>
        <v>Vir</v>
      </c>
    </row>
    <row r="22" spans="1:37" ht="15" thickBot="1">
      <c r="A22" s="19" t="s">
        <v>95</v>
      </c>
      <c r="B22" s="4">
        <v>45412</v>
      </c>
      <c r="C22" s="3" t="s">
        <v>96</v>
      </c>
      <c r="D22" s="3" t="s">
        <v>97</v>
      </c>
      <c r="E22" s="3" t="s">
        <v>80</v>
      </c>
      <c r="F22" s="3" t="s">
        <v>81</v>
      </c>
      <c r="G22" s="3" t="s">
        <v>19</v>
      </c>
      <c r="H22" s="5">
        <v>5</v>
      </c>
      <c r="I22" s="5">
        <v>699.99</v>
      </c>
      <c r="J22" s="3" t="s">
        <v>20</v>
      </c>
      <c r="K22" s="3" t="s">
        <v>50</v>
      </c>
      <c r="L22" s="3" t="s">
        <v>22</v>
      </c>
      <c r="M22" s="4">
        <v>45167</v>
      </c>
      <c r="N22" s="5">
        <f t="shared" si="2"/>
        <v>3499.95</v>
      </c>
      <c r="O22" s="3" t="str">
        <f>TEXT(Data!$B22,"mmm")</f>
        <v>Apr</v>
      </c>
      <c r="P22" s="11">
        <f>YEAR(Data!$B22)</f>
        <v>2024</v>
      </c>
      <c r="Q22" s="12">
        <f t="shared" ca="1" si="0"/>
        <v>46122.659248495373</v>
      </c>
      <c r="R22" s="21" t="str" cm="1">
        <f t="array" ref="R22">INDEX(F22:F220,MODE(MATCH(F22:F220,F22:F220,0)))</f>
        <v>Keyboard</v>
      </c>
      <c r="S22" s="19" t="str">
        <f t="shared" si="3"/>
        <v>High Value</v>
      </c>
      <c r="T22" s="26" t="str">
        <v>TRX0161</v>
      </c>
      <c r="U22" s="35">
        <v>45545</v>
      </c>
      <c r="V22" s="35" t="str">
        <v>CUST017</v>
      </c>
      <c r="W22" s="35" t="str">
        <v>Charles Allen</v>
      </c>
      <c r="X22" s="35" t="str">
        <v>P004</v>
      </c>
      <c r="Y22" s="35" t="str">
        <v>Coffee Maker</v>
      </c>
      <c r="Z22" s="35" t="str">
        <v>Appliances</v>
      </c>
      <c r="AA22" s="35">
        <v>1</v>
      </c>
      <c r="AB22" s="35">
        <v>79.989999999999995</v>
      </c>
      <c r="AC22" s="35" t="str">
        <v>Cash</v>
      </c>
      <c r="AD22" s="35" t="str">
        <v>West</v>
      </c>
      <c r="AE22" s="35" t="str">
        <v>Basic</v>
      </c>
      <c r="AF22" s="35">
        <v>44693</v>
      </c>
      <c r="AG22" s="35">
        <v>79.989999999999995</v>
      </c>
      <c r="AH22" t="str">
        <f t="shared" si="1"/>
        <v>Bar</v>
      </c>
    </row>
    <row r="23" spans="1:37" ht="15" thickBot="1">
      <c r="A23" s="22" t="s">
        <v>98</v>
      </c>
      <c r="B23" s="8">
        <v>45413</v>
      </c>
      <c r="C23" s="7" t="s">
        <v>99</v>
      </c>
      <c r="D23" s="7" t="s">
        <v>100</v>
      </c>
      <c r="E23" s="7" t="s">
        <v>80</v>
      </c>
      <c r="F23" s="7" t="s">
        <v>81</v>
      </c>
      <c r="G23" s="7" t="s">
        <v>19</v>
      </c>
      <c r="H23" s="2">
        <v>4</v>
      </c>
      <c r="I23" s="2">
        <v>699.99</v>
      </c>
      <c r="J23" s="7" t="s">
        <v>20</v>
      </c>
      <c r="K23" s="7" t="s">
        <v>63</v>
      </c>
      <c r="L23" s="7" t="s">
        <v>36</v>
      </c>
      <c r="M23" s="8">
        <v>44409</v>
      </c>
      <c r="N23" s="5">
        <f t="shared" si="2"/>
        <v>2799.96</v>
      </c>
      <c r="O23" s="7" t="str">
        <f>TEXT(Data!$B23,"mmm")</f>
        <v>May</v>
      </c>
      <c r="P23" s="9">
        <f>YEAR(Data!$B23)</f>
        <v>2024</v>
      </c>
      <c r="Q23" s="10">
        <f t="shared" ca="1" si="0"/>
        <v>46122.659248495373</v>
      </c>
      <c r="R23" s="20" t="str" cm="1">
        <f t="array" ref="R23">INDEX(F23:F221,MODE(MATCH(F23:F221,F23:F221,0)))</f>
        <v>Keyboard</v>
      </c>
      <c r="S23" s="36" t="str">
        <f t="shared" si="3"/>
        <v>High Value</v>
      </c>
      <c r="T23" s="27" t="str">
        <v>TRX0158</v>
      </c>
      <c r="U23">
        <v>45579</v>
      </c>
      <c r="V23" t="str">
        <v>CUST027</v>
      </c>
      <c r="W23" t="str">
        <v>George Adams</v>
      </c>
      <c r="X23" t="str">
        <v>P001</v>
      </c>
      <c r="Y23" t="str">
        <v>Laptop</v>
      </c>
      <c r="Z23" t="str">
        <v>Electronics</v>
      </c>
      <c r="AA23">
        <v>3</v>
      </c>
      <c r="AB23">
        <v>899.99</v>
      </c>
      <c r="AC23" t="str">
        <v>PayPal</v>
      </c>
      <c r="AD23" t="str">
        <v>West</v>
      </c>
      <c r="AE23" t="str">
        <v>Basic</v>
      </c>
      <c r="AF23">
        <v>45215</v>
      </c>
      <c r="AG23">
        <v>2699.9700000000003</v>
      </c>
      <c r="AH23" t="str">
        <f t="shared" si="1"/>
        <v>Pat</v>
      </c>
    </row>
    <row r="24" spans="1:37" ht="15" thickBot="1">
      <c r="A24" s="19" t="s">
        <v>101</v>
      </c>
      <c r="B24" s="4">
        <v>45415</v>
      </c>
      <c r="C24" s="3" t="s">
        <v>102</v>
      </c>
      <c r="D24" s="3" t="s">
        <v>103</v>
      </c>
      <c r="E24" s="3" t="s">
        <v>17</v>
      </c>
      <c r="F24" s="3" t="s">
        <v>18</v>
      </c>
      <c r="G24" s="3" t="s">
        <v>19</v>
      </c>
      <c r="H24" s="5">
        <v>4</v>
      </c>
      <c r="I24" s="5">
        <v>249.99</v>
      </c>
      <c r="J24" s="3" t="s">
        <v>34</v>
      </c>
      <c r="K24" s="3" t="s">
        <v>40</v>
      </c>
      <c r="L24" s="3" t="s">
        <v>36</v>
      </c>
      <c r="M24" s="4">
        <v>44468</v>
      </c>
      <c r="N24" s="5">
        <f t="shared" si="2"/>
        <v>999.96</v>
      </c>
      <c r="O24" s="3" t="str">
        <f>TEXT(Data!$B24,"mmm")</f>
        <v>May</v>
      </c>
      <c r="P24" s="11">
        <f>YEAR(Data!$B24)</f>
        <v>2024</v>
      </c>
      <c r="Q24" s="12">
        <f t="shared" ca="1" si="0"/>
        <v>46122.659248495373</v>
      </c>
      <c r="R24" s="21" t="str" cm="1">
        <f t="array" ref="R24">INDEX(F24:F222,MODE(MATCH(F24:F222,F24:F222,0)))</f>
        <v>Keyboard</v>
      </c>
      <c r="S24" s="19" t="str">
        <f t="shared" si="3"/>
        <v>Normal</v>
      </c>
      <c r="T24" s="26" t="str">
        <v>TRX0190</v>
      </c>
      <c r="U24" s="35">
        <v>45583</v>
      </c>
      <c r="V24" s="35" t="str">
        <v>CUST039</v>
      </c>
      <c r="W24" s="35" t="str">
        <v>Lawrence Reed</v>
      </c>
      <c r="X24" s="35" t="str">
        <v>P003</v>
      </c>
      <c r="Y24" s="35" t="str">
        <v>Headphones</v>
      </c>
      <c r="Z24" s="35" t="str">
        <v>Electronics</v>
      </c>
      <c r="AA24" s="35">
        <v>2</v>
      </c>
      <c r="AB24" s="35">
        <v>149.99</v>
      </c>
      <c r="AC24" s="35" t="str">
        <v>Credit Card</v>
      </c>
      <c r="AD24" s="35" t="str">
        <v>West</v>
      </c>
      <c r="AE24" s="35" t="str">
        <v>Basic</v>
      </c>
      <c r="AF24" s="35">
        <v>44916</v>
      </c>
      <c r="AG24" s="35">
        <v>299.98</v>
      </c>
      <c r="AH24" t="str">
        <f t="shared" si="1"/>
        <v>Cyn</v>
      </c>
    </row>
    <row r="25" spans="1:37" ht="15" thickBot="1">
      <c r="A25" s="22" t="s">
        <v>104</v>
      </c>
      <c r="B25" s="8">
        <v>45416</v>
      </c>
      <c r="C25" s="7" t="s">
        <v>86</v>
      </c>
      <c r="D25" s="7" t="s">
        <v>87</v>
      </c>
      <c r="E25" s="7" t="s">
        <v>105</v>
      </c>
      <c r="F25" s="7" t="s">
        <v>106</v>
      </c>
      <c r="G25" s="7" t="s">
        <v>46</v>
      </c>
      <c r="H25" s="2">
        <v>4</v>
      </c>
      <c r="I25" s="2">
        <v>299.99</v>
      </c>
      <c r="J25" s="7" t="s">
        <v>20</v>
      </c>
      <c r="K25" s="7" t="s">
        <v>50</v>
      </c>
      <c r="L25" s="7" t="s">
        <v>27</v>
      </c>
      <c r="M25" s="8">
        <v>44716</v>
      </c>
      <c r="N25" s="5">
        <f t="shared" si="2"/>
        <v>1199.96</v>
      </c>
      <c r="O25" s="7" t="str">
        <f>TEXT(Data!$B25,"mmm")</f>
        <v>May</v>
      </c>
      <c r="P25" s="9">
        <f>YEAR(Data!$B25)</f>
        <v>2024</v>
      </c>
      <c r="Q25" s="10">
        <f t="shared" ca="1" si="0"/>
        <v>46122.659248495373</v>
      </c>
      <c r="R25" s="20" t="str" cm="1">
        <f t="array" ref="R25">INDEX(F25:F223,MODE(MATCH(F25:F223,F25:F223,0)))</f>
        <v>Keyboard</v>
      </c>
      <c r="S25" s="36" t="str">
        <f t="shared" si="3"/>
        <v>Normal</v>
      </c>
      <c r="T25" s="27" t="str">
        <v>TRX0109</v>
      </c>
      <c r="U25">
        <v>45604</v>
      </c>
      <c r="V25" t="str">
        <v>CUST010</v>
      </c>
      <c r="W25" t="str">
        <v>Maria Garcia</v>
      </c>
      <c r="X25" t="str">
        <v>P008</v>
      </c>
      <c r="Y25" t="str">
        <v>Bookshelf</v>
      </c>
      <c r="Z25" t="str">
        <v>Furniture</v>
      </c>
      <c r="AA25">
        <v>2</v>
      </c>
      <c r="AB25">
        <v>149.99</v>
      </c>
      <c r="AC25" t="str">
        <v>Credit Card</v>
      </c>
      <c r="AD25" t="str">
        <v>West</v>
      </c>
      <c r="AE25" t="str">
        <v>Premium</v>
      </c>
      <c r="AF25">
        <v>44848</v>
      </c>
      <c r="AG25">
        <v>299.98</v>
      </c>
      <c r="AH25" t="str">
        <f t="shared" si="1"/>
        <v>Mar</v>
      </c>
    </row>
    <row r="26" spans="1:37" ht="15" thickBot="1">
      <c r="A26" s="19" t="s">
        <v>107</v>
      </c>
      <c r="B26" s="4">
        <v>45422</v>
      </c>
      <c r="C26" s="3" t="s">
        <v>108</v>
      </c>
      <c r="D26" s="3" t="s">
        <v>109</v>
      </c>
      <c r="E26" s="3" t="s">
        <v>17</v>
      </c>
      <c r="F26" s="3" t="s">
        <v>18</v>
      </c>
      <c r="G26" s="3" t="s">
        <v>19</v>
      </c>
      <c r="H26" s="5">
        <v>5</v>
      </c>
      <c r="I26" s="5">
        <v>249.99</v>
      </c>
      <c r="J26" s="3" t="s">
        <v>26</v>
      </c>
      <c r="K26" s="3" t="s">
        <v>50</v>
      </c>
      <c r="L26" s="3" t="s">
        <v>36</v>
      </c>
      <c r="M26" s="4">
        <v>44525</v>
      </c>
      <c r="N26" s="5">
        <f t="shared" si="2"/>
        <v>1249.95</v>
      </c>
      <c r="O26" s="3" t="str">
        <f>TEXT(Data!$B26,"mmm")</f>
        <v>May</v>
      </c>
      <c r="P26" s="11">
        <f>YEAR(Data!$B26)</f>
        <v>2024</v>
      </c>
      <c r="Q26" s="12">
        <f t="shared" ca="1" si="0"/>
        <v>46122.659248495373</v>
      </c>
      <c r="R26" s="21" t="str" cm="1">
        <f t="array" ref="R26">INDEX(F26:F224,MODE(MATCH(F26:F224,F26:F224,0)))</f>
        <v>Keyboard</v>
      </c>
      <c r="S26" s="19" t="str">
        <f t="shared" si="3"/>
        <v>Normal</v>
      </c>
      <c r="T26" s="26" t="str">
        <v>TRX0172</v>
      </c>
      <c r="U26" s="35">
        <v>45607</v>
      </c>
      <c r="V26" s="35" t="str">
        <v>CUST023</v>
      </c>
      <c r="W26" s="35" t="str">
        <v>Paul Baker</v>
      </c>
      <c r="X26" s="35" t="str">
        <v>P005</v>
      </c>
      <c r="Y26" s="35" t="str">
        <v>Blender</v>
      </c>
      <c r="Z26" s="35" t="str">
        <v>Appliances</v>
      </c>
      <c r="AA26" s="35">
        <v>5</v>
      </c>
      <c r="AB26" s="35">
        <v>59.99</v>
      </c>
      <c r="AC26" s="35" t="str">
        <v>PayPal</v>
      </c>
      <c r="AD26" s="35" t="str">
        <v>West</v>
      </c>
      <c r="AE26" s="35" t="str">
        <v>Premium</v>
      </c>
      <c r="AF26" s="35">
        <v>44694</v>
      </c>
      <c r="AG26" s="35">
        <v>299.95</v>
      </c>
      <c r="AH26" t="str">
        <f t="shared" si="1"/>
        <v>Nan</v>
      </c>
    </row>
    <row r="27" spans="1:37" ht="15" thickBot="1">
      <c r="A27" s="22" t="s">
        <v>110</v>
      </c>
      <c r="B27" s="8">
        <v>45424</v>
      </c>
      <c r="C27" s="7" t="s">
        <v>68</v>
      </c>
      <c r="D27" s="7" t="s">
        <v>69</v>
      </c>
      <c r="E27" s="7" t="s">
        <v>105</v>
      </c>
      <c r="F27" s="7" t="s">
        <v>106</v>
      </c>
      <c r="G27" s="7" t="s">
        <v>46</v>
      </c>
      <c r="H27" s="2">
        <v>5</v>
      </c>
      <c r="I27" s="2">
        <v>299.99</v>
      </c>
      <c r="J27" s="7" t="s">
        <v>34</v>
      </c>
      <c r="K27" s="7" t="s">
        <v>63</v>
      </c>
      <c r="L27" s="7" t="s">
        <v>22</v>
      </c>
      <c r="M27" s="8">
        <v>45168</v>
      </c>
      <c r="N27" s="5">
        <f t="shared" si="2"/>
        <v>1499.95</v>
      </c>
      <c r="O27" s="7" t="str">
        <f>TEXT(Data!$B27,"mmm")</f>
        <v>May</v>
      </c>
      <c r="P27" s="9">
        <f>YEAR(Data!$B27)</f>
        <v>2024</v>
      </c>
      <c r="Q27" s="10">
        <f t="shared" ca="1" si="0"/>
        <v>46122.659248495373</v>
      </c>
      <c r="R27" s="20" t="str" cm="1">
        <f t="array" ref="R27">INDEX(F27:F225,MODE(MATCH(F27:F225,F27:F225,0)))</f>
        <v>Keyboard</v>
      </c>
      <c r="S27" s="36" t="str">
        <f t="shared" si="3"/>
        <v>Normal</v>
      </c>
      <c r="T27" s="27" t="str">
        <v>TRX0076</v>
      </c>
      <c r="U27">
        <v>45607</v>
      </c>
      <c r="V27" t="str">
        <v>CUST012</v>
      </c>
      <c r="W27" t="str">
        <v>Patricia Moore</v>
      </c>
      <c r="X27" t="str">
        <v>P009</v>
      </c>
      <c r="Y27" t="str">
        <v>Monitor</v>
      </c>
      <c r="Z27" t="str">
        <v>Electronics</v>
      </c>
      <c r="AA27">
        <v>4</v>
      </c>
      <c r="AB27">
        <v>249.99</v>
      </c>
      <c r="AC27" t="str">
        <v>Credit Card</v>
      </c>
      <c r="AD27" t="str">
        <v>West</v>
      </c>
      <c r="AE27" t="str">
        <v>Standard</v>
      </c>
      <c r="AF27">
        <v>44659</v>
      </c>
      <c r="AG27">
        <v>999.96</v>
      </c>
      <c r="AH27" t="str">
        <f t="shared" si="1"/>
        <v>Sus</v>
      </c>
    </row>
    <row r="28" spans="1:37" ht="15" thickBot="1">
      <c r="A28" s="19" t="s">
        <v>111</v>
      </c>
      <c r="B28" s="4">
        <v>45424</v>
      </c>
      <c r="C28" s="3" t="s">
        <v>112</v>
      </c>
      <c r="D28" s="3" t="s">
        <v>113</v>
      </c>
      <c r="E28" s="3" t="s">
        <v>114</v>
      </c>
      <c r="F28" s="3" t="s">
        <v>115</v>
      </c>
      <c r="G28" s="3" t="s">
        <v>33</v>
      </c>
      <c r="H28" s="5">
        <v>3</v>
      </c>
      <c r="I28" s="5">
        <v>79.989999999999995</v>
      </c>
      <c r="J28" s="3" t="s">
        <v>34</v>
      </c>
      <c r="K28" s="3" t="s">
        <v>63</v>
      </c>
      <c r="L28" s="3" t="s">
        <v>27</v>
      </c>
      <c r="M28" s="4">
        <v>45012</v>
      </c>
      <c r="N28" s="5">
        <f t="shared" si="2"/>
        <v>239.96999999999997</v>
      </c>
      <c r="O28" s="3" t="str">
        <f>TEXT(Data!$B28,"mmm")</f>
        <v>May</v>
      </c>
      <c r="P28" s="11">
        <f>YEAR(Data!$B28)</f>
        <v>2024</v>
      </c>
      <c r="Q28" s="12">
        <f t="shared" ca="1" si="0"/>
        <v>46122.659248495373</v>
      </c>
      <c r="R28" s="21" t="str" cm="1">
        <f t="array" ref="R28">INDEX(F28:F226,MODE(MATCH(F28:F226,F28:F226,0)))</f>
        <v>Keyboard</v>
      </c>
      <c r="S28" s="19" t="str">
        <f t="shared" si="3"/>
        <v>Normal</v>
      </c>
      <c r="T28" s="26" t="str">
        <v>TRX0033</v>
      </c>
      <c r="U28" s="35">
        <v>45613</v>
      </c>
      <c r="V28" s="35" t="str">
        <v>CUST025</v>
      </c>
      <c r="W28" s="35" t="str">
        <v>Mark Carter</v>
      </c>
      <c r="X28" s="35" t="str">
        <v>P002</v>
      </c>
      <c r="Y28" s="35" t="str">
        <v>Smartphone</v>
      </c>
      <c r="Z28" s="35" t="str">
        <v>Electronics</v>
      </c>
      <c r="AA28" s="35">
        <v>2</v>
      </c>
      <c r="AB28" s="35">
        <v>699.99</v>
      </c>
      <c r="AC28" s="35" t="str">
        <v>PayPal</v>
      </c>
      <c r="AD28" s="35" t="str">
        <v>West</v>
      </c>
      <c r="AE28" s="35" t="str">
        <v>Standard</v>
      </c>
      <c r="AF28" s="35">
        <v>44770</v>
      </c>
      <c r="AG28" s="35">
        <v>1399.98</v>
      </c>
      <c r="AH28" t="str">
        <f t="shared" si="1"/>
        <v>Lin</v>
      </c>
      <c r="AK28" t="s">
        <v>480</v>
      </c>
    </row>
    <row r="29" spans="1:37" ht="15" thickBot="1">
      <c r="A29" s="22" t="s">
        <v>116</v>
      </c>
      <c r="B29" s="8">
        <v>45424</v>
      </c>
      <c r="C29" s="7" t="s">
        <v>99</v>
      </c>
      <c r="D29" s="7" t="s">
        <v>100</v>
      </c>
      <c r="E29" s="7" t="s">
        <v>117</v>
      </c>
      <c r="F29" s="7" t="s">
        <v>118</v>
      </c>
      <c r="G29" s="7" t="s">
        <v>19</v>
      </c>
      <c r="H29" s="2">
        <v>5</v>
      </c>
      <c r="I29" s="2">
        <v>89.99</v>
      </c>
      <c r="J29" s="7" t="s">
        <v>20</v>
      </c>
      <c r="K29" s="7" t="s">
        <v>40</v>
      </c>
      <c r="L29" s="7" t="s">
        <v>27</v>
      </c>
      <c r="M29" s="8">
        <v>44919</v>
      </c>
      <c r="N29" s="5">
        <f t="shared" si="2"/>
        <v>449.95</v>
      </c>
      <c r="O29" s="7" t="str">
        <f>TEXT(Data!$B29,"mmm")</f>
        <v>May</v>
      </c>
      <c r="P29" s="9">
        <f>YEAR(Data!$B29)</f>
        <v>2024</v>
      </c>
      <c r="Q29" s="10">
        <f t="shared" ca="1" si="0"/>
        <v>46122.659248495373</v>
      </c>
      <c r="R29" s="20" t="str" cm="1">
        <f t="array" ref="R29">INDEX(F29:F227,MODE(MATCH(F29:F227,F29:F227,0)))</f>
        <v>Keyboard</v>
      </c>
      <c r="S29" s="36" t="str">
        <f t="shared" si="3"/>
        <v>Normal</v>
      </c>
      <c r="T29" s="27" t="str">
        <v>TRX0145</v>
      </c>
      <c r="U29">
        <v>45619</v>
      </c>
      <c r="V29" t="str">
        <v>CUST033</v>
      </c>
      <c r="W29" t="str">
        <v>Frank Torres</v>
      </c>
      <c r="X29" t="str">
        <v>P005</v>
      </c>
      <c r="Y29" t="str">
        <v>Blender</v>
      </c>
      <c r="Z29" t="str">
        <v>Appliances</v>
      </c>
      <c r="AA29">
        <v>1</v>
      </c>
      <c r="AB29">
        <v>59.99</v>
      </c>
      <c r="AC29" t="str">
        <v>Debit Card</v>
      </c>
      <c r="AD29" t="str">
        <v>West</v>
      </c>
      <c r="AE29" t="str">
        <v>Standard</v>
      </c>
      <c r="AF29">
        <v>44560</v>
      </c>
      <c r="AG29">
        <v>59.99</v>
      </c>
      <c r="AH29" t="str">
        <f t="shared" si="1"/>
        <v>Pat</v>
      </c>
    </row>
    <row r="30" spans="1:37" ht="15" thickBot="1">
      <c r="A30" s="19" t="s">
        <v>119</v>
      </c>
      <c r="B30" s="4">
        <v>45425</v>
      </c>
      <c r="C30" s="3" t="s">
        <v>120</v>
      </c>
      <c r="D30" s="3" t="s">
        <v>121</v>
      </c>
      <c r="E30" s="3" t="s">
        <v>31</v>
      </c>
      <c r="F30" s="3" t="s">
        <v>32</v>
      </c>
      <c r="G30" s="3" t="s">
        <v>33</v>
      </c>
      <c r="H30" s="5">
        <v>2</v>
      </c>
      <c r="I30" s="5">
        <v>59.99</v>
      </c>
      <c r="J30" s="3" t="s">
        <v>57</v>
      </c>
      <c r="K30" s="3" t="s">
        <v>21</v>
      </c>
      <c r="L30" s="3" t="s">
        <v>36</v>
      </c>
      <c r="M30" s="4">
        <v>45214</v>
      </c>
      <c r="N30" s="5">
        <f t="shared" si="2"/>
        <v>119.98</v>
      </c>
      <c r="O30" s="3" t="str">
        <f>TEXT(Data!$B30,"mmm")</f>
        <v>May</v>
      </c>
      <c r="P30" s="11">
        <f>YEAR(Data!$B30)</f>
        <v>2024</v>
      </c>
      <c r="Q30" s="12">
        <f t="shared" ca="1" si="0"/>
        <v>46122.659248495373</v>
      </c>
      <c r="R30" s="21" t="str" cm="1">
        <f t="array" ref="R30">INDEX(F30:F228,MODE(MATCH(F30:F228,F30:F228,0)))</f>
        <v>Keyboard</v>
      </c>
      <c r="S30" s="19" t="str">
        <f t="shared" si="3"/>
        <v>Normal</v>
      </c>
      <c r="T30" s="26" t="str">
        <v>TRX0148</v>
      </c>
      <c r="U30" s="35">
        <v>45619</v>
      </c>
      <c r="V30" s="35" t="str">
        <v>CUST004</v>
      </c>
      <c r="W30" s="35" t="str">
        <v>Sarah Davis</v>
      </c>
      <c r="X30" s="35" t="str">
        <v>P002</v>
      </c>
      <c r="Y30" s="35" t="str">
        <v>Smartphone</v>
      </c>
      <c r="Z30" s="35" t="str">
        <v>Electronics</v>
      </c>
      <c r="AA30" s="35">
        <v>3</v>
      </c>
      <c r="AB30" s="35">
        <v>699.99</v>
      </c>
      <c r="AC30" s="35" t="str">
        <v>PayPal</v>
      </c>
      <c r="AD30" s="35" t="str">
        <v>West</v>
      </c>
      <c r="AE30" s="35" t="str">
        <v>Standard</v>
      </c>
      <c r="AF30" s="35">
        <v>44583</v>
      </c>
      <c r="AG30" s="35">
        <v>2099.9700000000003</v>
      </c>
      <c r="AH30" t="str">
        <f t="shared" si="1"/>
        <v>Hel</v>
      </c>
    </row>
    <row r="31" spans="1:37" ht="15" thickBot="1">
      <c r="A31" s="22" t="s">
        <v>122</v>
      </c>
      <c r="B31" s="8">
        <v>45427</v>
      </c>
      <c r="C31" s="7" t="s">
        <v>123</v>
      </c>
      <c r="D31" s="7" t="s">
        <v>124</v>
      </c>
      <c r="E31" s="7" t="s">
        <v>31</v>
      </c>
      <c r="F31" s="7" t="s">
        <v>32</v>
      </c>
      <c r="G31" s="7" t="s">
        <v>33</v>
      </c>
      <c r="H31" s="2">
        <v>4</v>
      </c>
      <c r="I31" s="2">
        <v>59.99</v>
      </c>
      <c r="J31" s="7" t="s">
        <v>57</v>
      </c>
      <c r="K31" s="7" t="s">
        <v>63</v>
      </c>
      <c r="L31" s="7" t="s">
        <v>36</v>
      </c>
      <c r="M31" s="8">
        <v>44867</v>
      </c>
      <c r="N31" s="5">
        <f t="shared" si="2"/>
        <v>239.96</v>
      </c>
      <c r="O31" s="7" t="str">
        <f>TEXT(Data!$B31,"mmm")</f>
        <v>May</v>
      </c>
      <c r="P31" s="9">
        <f>YEAR(Data!$B31)</f>
        <v>2024</v>
      </c>
      <c r="Q31" s="10">
        <f t="shared" ca="1" si="0"/>
        <v>46122.659248495373</v>
      </c>
      <c r="R31" s="20" t="str" cm="1">
        <f t="array" ref="R31">INDEX(F31:F229,MODE(MATCH(F31:F229,F31:F229,0)))</f>
        <v>Keyboard</v>
      </c>
      <c r="S31" s="36" t="str">
        <f t="shared" si="3"/>
        <v>Normal</v>
      </c>
      <c r="T31" s="27" t="str">
        <v>TRX0201</v>
      </c>
      <c r="U31">
        <v>45627</v>
      </c>
      <c r="V31" t="str">
        <v>CUST025</v>
      </c>
      <c r="W31" t="str">
        <v>Mark Carter</v>
      </c>
      <c r="X31" t="str">
        <v>P002</v>
      </c>
      <c r="Y31" t="str">
        <v>Smartphone</v>
      </c>
      <c r="Z31" t="str">
        <v>Electronics</v>
      </c>
      <c r="AA31">
        <v>5</v>
      </c>
      <c r="AB31">
        <v>699.99</v>
      </c>
      <c r="AC31" t="str">
        <v>Debit Card</v>
      </c>
      <c r="AD31" t="str">
        <v>West</v>
      </c>
      <c r="AE31" t="str">
        <v>Standard</v>
      </c>
      <c r="AF31">
        <v>44944</v>
      </c>
      <c r="AG31">
        <v>3499.95</v>
      </c>
      <c r="AH31" t="str">
        <f t="shared" si="1"/>
        <v>Edw</v>
      </c>
    </row>
    <row r="32" spans="1:37" ht="15" thickBot="1">
      <c r="A32" s="19" t="s">
        <v>125</v>
      </c>
      <c r="B32" s="4">
        <v>45427</v>
      </c>
      <c r="C32" s="3" t="s">
        <v>55</v>
      </c>
      <c r="D32" s="3" t="s">
        <v>56</v>
      </c>
      <c r="E32" s="3" t="s">
        <v>126</v>
      </c>
      <c r="F32" s="3" t="s">
        <v>127</v>
      </c>
      <c r="G32" s="3" t="s">
        <v>46</v>
      </c>
      <c r="H32" s="5">
        <v>5</v>
      </c>
      <c r="I32" s="5">
        <v>199.99</v>
      </c>
      <c r="J32" s="3" t="s">
        <v>20</v>
      </c>
      <c r="K32" s="3" t="s">
        <v>35</v>
      </c>
      <c r="L32" s="3" t="s">
        <v>36</v>
      </c>
      <c r="M32" s="4">
        <v>44412</v>
      </c>
      <c r="N32" s="5">
        <f t="shared" si="2"/>
        <v>999.95</v>
      </c>
      <c r="O32" s="3" t="str">
        <f>TEXT(Data!$B32,"mmm")</f>
        <v>May</v>
      </c>
      <c r="P32" s="11">
        <f>YEAR(Data!$B32)</f>
        <v>2024</v>
      </c>
      <c r="Q32" s="12">
        <f t="shared" ca="1" si="0"/>
        <v>46122.659248495373</v>
      </c>
      <c r="R32" s="21" t="str" cm="1">
        <f t="array" ref="R32">INDEX(F32:F230,MODE(MATCH(F32:F230,F32:F230,0)))</f>
        <v>Keyboard</v>
      </c>
      <c r="S32" s="19" t="str">
        <f t="shared" si="3"/>
        <v>Normal</v>
      </c>
      <c r="T32" s="26" t="str">
        <v>TRX0028</v>
      </c>
      <c r="U32" s="35">
        <v>45644</v>
      </c>
      <c r="V32" s="35" t="str">
        <v>CUST002</v>
      </c>
      <c r="W32" s="35" t="str">
        <v>Emma Wilson</v>
      </c>
      <c r="X32" s="35" t="str">
        <v>P005</v>
      </c>
      <c r="Y32" s="35" t="str">
        <v>Blender</v>
      </c>
      <c r="Z32" s="35" t="str">
        <v>Appliances</v>
      </c>
      <c r="AA32" s="35">
        <v>2</v>
      </c>
      <c r="AB32" s="35">
        <v>59.99</v>
      </c>
      <c r="AC32" s="35" t="str">
        <v>Cash</v>
      </c>
      <c r="AD32" s="35" t="str">
        <v>West</v>
      </c>
      <c r="AE32" s="35" t="str">
        <v>Basic</v>
      </c>
      <c r="AF32" s="35">
        <v>45191</v>
      </c>
      <c r="AG32" s="35">
        <v>119.98</v>
      </c>
      <c r="AH32" t="str">
        <f t="shared" si="1"/>
        <v>Cha</v>
      </c>
    </row>
    <row r="33" spans="1:34" ht="15" thickBot="1">
      <c r="A33" s="22" t="s">
        <v>128</v>
      </c>
      <c r="B33" s="8">
        <v>45428</v>
      </c>
      <c r="C33" s="7" t="s">
        <v>129</v>
      </c>
      <c r="D33" s="7" t="s">
        <v>130</v>
      </c>
      <c r="E33" s="7" t="s">
        <v>44</v>
      </c>
      <c r="F33" s="7" t="s">
        <v>45</v>
      </c>
      <c r="G33" s="7" t="s">
        <v>46</v>
      </c>
      <c r="H33" s="2">
        <v>2</v>
      </c>
      <c r="I33" s="2">
        <v>149.99</v>
      </c>
      <c r="J33" s="7" t="s">
        <v>26</v>
      </c>
      <c r="K33" s="7" t="s">
        <v>50</v>
      </c>
      <c r="L33" s="7" t="s">
        <v>22</v>
      </c>
      <c r="M33" s="8">
        <v>44823</v>
      </c>
      <c r="N33" s="5">
        <f t="shared" si="2"/>
        <v>299.98</v>
      </c>
      <c r="O33" s="7" t="str">
        <f>TEXT(Data!$B33,"mmm")</f>
        <v>May</v>
      </c>
      <c r="P33" s="9">
        <f>YEAR(Data!$B33)</f>
        <v>2024</v>
      </c>
      <c r="Q33" s="10">
        <f t="shared" ca="1" si="0"/>
        <v>46122.659248495373</v>
      </c>
      <c r="R33" s="20" t="str" cm="1">
        <f t="array" ref="R33">INDEX(F33:F231,MODE(MATCH(F33:F231,F33:F231,0)))</f>
        <v>Keyboard</v>
      </c>
      <c r="S33" s="36" t="str">
        <f t="shared" si="3"/>
        <v>Normal</v>
      </c>
      <c r="T33" s="27" t="str">
        <v>TRX0164</v>
      </c>
      <c r="U33">
        <v>45648</v>
      </c>
      <c r="V33" t="str">
        <v>CUST014</v>
      </c>
      <c r="W33" t="str">
        <v>Linda Martin</v>
      </c>
      <c r="X33" t="str">
        <v>P003</v>
      </c>
      <c r="Y33" t="str">
        <v>Headphones</v>
      </c>
      <c r="Z33" t="str">
        <v>Electronics</v>
      </c>
      <c r="AA33">
        <v>2</v>
      </c>
      <c r="AB33">
        <v>149.99</v>
      </c>
      <c r="AC33" t="str">
        <v>Debit Card</v>
      </c>
      <c r="AD33" t="str">
        <v>West</v>
      </c>
      <c r="AE33" t="str">
        <v>Premium</v>
      </c>
      <c r="AF33">
        <v>45280</v>
      </c>
      <c r="AG33">
        <v>299.98</v>
      </c>
      <c r="AH33" t="str">
        <f t="shared" si="1"/>
        <v>Lis</v>
      </c>
    </row>
    <row r="34" spans="1:34" ht="15" thickBot="1">
      <c r="A34" s="19" t="s">
        <v>131</v>
      </c>
      <c r="B34" s="4">
        <v>45430</v>
      </c>
      <c r="C34" s="3" t="s">
        <v>132</v>
      </c>
      <c r="D34" s="3" t="s">
        <v>133</v>
      </c>
      <c r="E34" s="3" t="s">
        <v>44</v>
      </c>
      <c r="F34" s="3" t="s">
        <v>45</v>
      </c>
      <c r="G34" s="3" t="s">
        <v>46</v>
      </c>
      <c r="H34" s="5">
        <v>3</v>
      </c>
      <c r="I34" s="5">
        <v>149.99</v>
      </c>
      <c r="J34" s="3" t="s">
        <v>26</v>
      </c>
      <c r="K34" s="3" t="s">
        <v>50</v>
      </c>
      <c r="L34" s="3" t="s">
        <v>27</v>
      </c>
      <c r="M34" s="4">
        <v>45068</v>
      </c>
      <c r="N34" s="5">
        <f t="shared" si="2"/>
        <v>449.97</v>
      </c>
      <c r="O34" s="3" t="str">
        <f>TEXT(Data!$B34,"mmm")</f>
        <v>May</v>
      </c>
      <c r="P34" s="11">
        <f>YEAR(Data!$B34)</f>
        <v>2024</v>
      </c>
      <c r="Q34" s="12">
        <f t="shared" ca="1" si="0"/>
        <v>46122.659248495373</v>
      </c>
      <c r="R34" s="21" t="str" cm="1">
        <f t="array" ref="R34">INDEX(F34:F232,MODE(MATCH(F34:F232,F34:F232,0)))</f>
        <v>Keyboard</v>
      </c>
      <c r="S34" s="19" t="str">
        <f t="shared" si="3"/>
        <v>Normal</v>
      </c>
      <c r="T34" s="26" t="str">
        <v>TRX0143</v>
      </c>
      <c r="U34" s="35">
        <v>45654</v>
      </c>
      <c r="V34" s="35" t="str">
        <v>CUST003</v>
      </c>
      <c r="W34" s="35" t="str">
        <v>Michael Brown</v>
      </c>
      <c r="X34" s="35" t="str">
        <v>P007</v>
      </c>
      <c r="Y34" s="35" t="str">
        <v>Desk</v>
      </c>
      <c r="Z34" s="35" t="str">
        <v>Furniture</v>
      </c>
      <c r="AA34" s="35">
        <v>2</v>
      </c>
      <c r="AB34" s="35">
        <v>299.99</v>
      </c>
      <c r="AC34" s="35" t="str">
        <v>Cash</v>
      </c>
      <c r="AD34" s="35" t="str">
        <v>West</v>
      </c>
      <c r="AE34" s="35" t="str">
        <v>Basic</v>
      </c>
      <c r="AF34" s="35">
        <v>44771</v>
      </c>
      <c r="AG34" s="35">
        <v>599.98</v>
      </c>
      <c r="AH34" s="35" t="str">
        <f t="shared" si="1"/>
        <v>Emm</v>
      </c>
    </row>
    <row r="35" spans="1:34" ht="15" thickBot="1">
      <c r="A35" s="22" t="s">
        <v>134</v>
      </c>
      <c r="B35" s="8">
        <v>45432</v>
      </c>
      <c r="C35" s="7" t="s">
        <v>29</v>
      </c>
      <c r="D35" s="7" t="s">
        <v>30</v>
      </c>
      <c r="E35" s="7" t="s">
        <v>61</v>
      </c>
      <c r="F35" s="7" t="s">
        <v>62</v>
      </c>
      <c r="G35" s="7" t="s">
        <v>19</v>
      </c>
      <c r="H35" s="2">
        <v>1</v>
      </c>
      <c r="I35" s="2">
        <v>899.99</v>
      </c>
      <c r="J35" s="7" t="s">
        <v>26</v>
      </c>
      <c r="K35" s="7" t="s">
        <v>50</v>
      </c>
      <c r="L35" s="7" t="s">
        <v>27</v>
      </c>
      <c r="M35" s="8">
        <v>44578</v>
      </c>
      <c r="N35" s="5">
        <f t="shared" si="2"/>
        <v>899.99</v>
      </c>
      <c r="O35" s="7" t="str">
        <f>TEXT(Data!$B35,"mmm")</f>
        <v>May</v>
      </c>
      <c r="P35" s="9">
        <f>YEAR(Data!$B35)</f>
        <v>2024</v>
      </c>
      <c r="Q35" s="10">
        <f t="shared" ca="1" si="0"/>
        <v>46122.659248495373</v>
      </c>
      <c r="R35" s="20" t="str" cm="1">
        <f t="array" ref="R35">INDEX(F35:F233,MODE(MATCH(F35:F233,F35:F233,0)))</f>
        <v>Keyboard</v>
      </c>
      <c r="S35" s="36" t="str">
        <f t="shared" si="3"/>
        <v>Normal</v>
      </c>
      <c r="T35" s="27"/>
      <c r="AH35" t="str">
        <f t="shared" si="1"/>
        <v>Kev</v>
      </c>
    </row>
    <row r="36" spans="1:34" ht="15" thickBot="1">
      <c r="A36" s="19" t="s">
        <v>135</v>
      </c>
      <c r="B36" s="4">
        <v>45434</v>
      </c>
      <c r="C36" s="3" t="s">
        <v>99</v>
      </c>
      <c r="D36" s="3" t="s">
        <v>100</v>
      </c>
      <c r="E36" s="3" t="s">
        <v>105</v>
      </c>
      <c r="F36" s="3" t="s">
        <v>106</v>
      </c>
      <c r="G36" s="3" t="s">
        <v>46</v>
      </c>
      <c r="H36" s="5">
        <v>3</v>
      </c>
      <c r="I36" s="5">
        <v>299.99</v>
      </c>
      <c r="J36" s="3" t="s">
        <v>26</v>
      </c>
      <c r="K36" s="3" t="s">
        <v>63</v>
      </c>
      <c r="L36" s="3" t="s">
        <v>22</v>
      </c>
      <c r="M36" s="4">
        <v>44824</v>
      </c>
      <c r="N36" s="5">
        <f t="shared" si="2"/>
        <v>899.97</v>
      </c>
      <c r="O36" s="3" t="str">
        <f>TEXT(Data!$B36,"mmm")</f>
        <v>May</v>
      </c>
      <c r="P36" s="11">
        <f>YEAR(Data!$B36)</f>
        <v>2024</v>
      </c>
      <c r="Q36" s="12">
        <f t="shared" ca="1" si="0"/>
        <v>46122.659248495373</v>
      </c>
      <c r="R36" s="21" t="str" cm="1">
        <f t="array" ref="R36">INDEX(F36:F234,MODE(MATCH(F36:F234,F36:F234,0)))</f>
        <v>Keyboard</v>
      </c>
      <c r="S36" s="19" t="str">
        <f t="shared" si="3"/>
        <v>Normal</v>
      </c>
      <c r="T36" s="26"/>
      <c r="AH36" t="str">
        <f t="shared" si="1"/>
        <v>Pat</v>
      </c>
    </row>
    <row r="37" spans="1:34" ht="15" thickBot="1">
      <c r="A37" s="22" t="s">
        <v>136</v>
      </c>
      <c r="B37" s="8">
        <v>45435</v>
      </c>
      <c r="C37" s="7" t="s">
        <v>129</v>
      </c>
      <c r="D37" s="7" t="s">
        <v>130</v>
      </c>
      <c r="E37" s="7" t="s">
        <v>114</v>
      </c>
      <c r="F37" s="7" t="s">
        <v>115</v>
      </c>
      <c r="G37" s="7" t="s">
        <v>33</v>
      </c>
      <c r="H37" s="2">
        <v>3</v>
      </c>
      <c r="I37" s="2">
        <v>79.989999999999995</v>
      </c>
      <c r="J37" s="7" t="s">
        <v>20</v>
      </c>
      <c r="K37" s="7" t="s">
        <v>35</v>
      </c>
      <c r="L37" s="7" t="s">
        <v>22</v>
      </c>
      <c r="M37" s="8">
        <v>45046</v>
      </c>
      <c r="N37" s="5">
        <f t="shared" si="2"/>
        <v>239.96999999999997</v>
      </c>
      <c r="O37" s="7" t="str">
        <f>TEXT(Data!$B37,"mmm")</f>
        <v>May</v>
      </c>
      <c r="P37" s="9">
        <f>YEAR(Data!$B37)</f>
        <v>2024</v>
      </c>
      <c r="Q37" s="10">
        <f t="shared" ca="1" si="0"/>
        <v>46122.659248495373</v>
      </c>
      <c r="R37" s="20" t="str" cm="1">
        <f t="array" ref="R37">INDEX(F37:F235,MODE(MATCH(F37:F235,F37:F235,0)))</f>
        <v>Keyboard</v>
      </c>
      <c r="S37" s="36" t="str">
        <f t="shared" si="3"/>
        <v>Normal</v>
      </c>
      <c r="T37" s="27"/>
      <c r="AH37" t="str">
        <f t="shared" si="1"/>
        <v>Lis</v>
      </c>
    </row>
    <row r="38" spans="1:34" ht="15" thickBot="1">
      <c r="A38" s="19" t="s">
        <v>137</v>
      </c>
      <c r="B38" s="4">
        <v>45438</v>
      </c>
      <c r="C38" s="3" t="s">
        <v>138</v>
      </c>
      <c r="D38" s="3" t="s">
        <v>139</v>
      </c>
      <c r="E38" s="3" t="s">
        <v>126</v>
      </c>
      <c r="F38" s="3" t="s">
        <v>127</v>
      </c>
      <c r="G38" s="3" t="s">
        <v>46</v>
      </c>
      <c r="H38" s="5">
        <v>3</v>
      </c>
      <c r="I38" s="5">
        <v>199.99</v>
      </c>
      <c r="J38" s="3" t="s">
        <v>26</v>
      </c>
      <c r="K38" s="3" t="s">
        <v>40</v>
      </c>
      <c r="L38" s="3" t="s">
        <v>27</v>
      </c>
      <c r="M38" s="4">
        <v>45292</v>
      </c>
      <c r="N38" s="5">
        <f t="shared" si="2"/>
        <v>599.97</v>
      </c>
      <c r="O38" s="3" t="str">
        <f>TEXT(Data!$B38,"mmm")</f>
        <v>May</v>
      </c>
      <c r="P38" s="11">
        <f>YEAR(Data!$B38)</f>
        <v>2024</v>
      </c>
      <c r="Q38" s="12">
        <f t="shared" ca="1" si="0"/>
        <v>46122.659248495373</v>
      </c>
      <c r="R38" s="21" t="str" cm="1">
        <f t="array" ref="R38">INDEX(F38:F236,MODE(MATCH(F38:F236,F38:F236,0)))</f>
        <v>Keyboard</v>
      </c>
      <c r="S38" s="19" t="str">
        <f t="shared" si="3"/>
        <v>Normal</v>
      </c>
      <c r="T38" s="26"/>
      <c r="AH38" t="str">
        <f t="shared" si="1"/>
        <v>Ste</v>
      </c>
    </row>
    <row r="39" spans="1:34" ht="15" thickBot="1">
      <c r="A39" s="22" t="s">
        <v>140</v>
      </c>
      <c r="B39" s="8">
        <v>45440</v>
      </c>
      <c r="C39" s="7" t="s">
        <v>141</v>
      </c>
      <c r="D39" s="7" t="s">
        <v>142</v>
      </c>
      <c r="E39" s="7" t="s">
        <v>80</v>
      </c>
      <c r="F39" s="7" t="s">
        <v>81</v>
      </c>
      <c r="G39" s="7" t="s">
        <v>19</v>
      </c>
      <c r="H39" s="2">
        <v>5</v>
      </c>
      <c r="I39" s="2">
        <v>699.99</v>
      </c>
      <c r="J39" s="7" t="s">
        <v>34</v>
      </c>
      <c r="K39" s="7" t="s">
        <v>50</v>
      </c>
      <c r="L39" s="7" t="s">
        <v>36</v>
      </c>
      <c r="M39" s="8">
        <v>44407</v>
      </c>
      <c r="N39" s="5">
        <f t="shared" si="2"/>
        <v>3499.95</v>
      </c>
      <c r="O39" s="7" t="str">
        <f>TEXT(Data!$B39,"mmm")</f>
        <v>May</v>
      </c>
      <c r="P39" s="9">
        <f>YEAR(Data!$B39)</f>
        <v>2024</v>
      </c>
      <c r="Q39" s="10">
        <f t="shared" ca="1" si="0"/>
        <v>46122.659248495373</v>
      </c>
      <c r="R39" s="20" t="str" cm="1">
        <f t="array" ref="R39">INDEX(F39:F237,MODE(MATCH(F39:F237,F39:F237,0)))</f>
        <v>Keyboard</v>
      </c>
      <c r="S39" s="36" t="str">
        <f t="shared" si="3"/>
        <v>High Value</v>
      </c>
      <c r="T39" s="27"/>
      <c r="AH39" t="str">
        <f t="shared" si="1"/>
        <v>Jen</v>
      </c>
    </row>
    <row r="40" spans="1:34" ht="15" thickBot="1">
      <c r="A40" s="19" t="s">
        <v>143</v>
      </c>
      <c r="B40" s="4">
        <v>45441</v>
      </c>
      <c r="C40" s="3" t="s">
        <v>144</v>
      </c>
      <c r="D40" s="3" t="s">
        <v>145</v>
      </c>
      <c r="E40" s="3" t="s">
        <v>117</v>
      </c>
      <c r="F40" s="3" t="s">
        <v>118</v>
      </c>
      <c r="G40" s="3" t="s">
        <v>19</v>
      </c>
      <c r="H40" s="5">
        <v>3</v>
      </c>
      <c r="I40" s="5">
        <v>89.99</v>
      </c>
      <c r="J40" s="3" t="s">
        <v>34</v>
      </c>
      <c r="K40" s="3" t="s">
        <v>21</v>
      </c>
      <c r="L40" s="3" t="s">
        <v>27</v>
      </c>
      <c r="M40" s="4">
        <v>45120</v>
      </c>
      <c r="N40" s="5">
        <f t="shared" si="2"/>
        <v>269.96999999999997</v>
      </c>
      <c r="O40" s="3" t="str">
        <f>TEXT(Data!$B40,"mmm")</f>
        <v>May</v>
      </c>
      <c r="P40" s="11">
        <f>YEAR(Data!$B40)</f>
        <v>2024</v>
      </c>
      <c r="Q40" s="12">
        <f t="shared" ca="1" si="0"/>
        <v>46122.659248495373</v>
      </c>
      <c r="R40" s="21" t="str" cm="1">
        <f t="array" ref="R40">INDEX(F40:F238,MODE(MATCH(F40:F238,F40:F238,0)))</f>
        <v>Keyboard</v>
      </c>
      <c r="S40" s="19" t="str">
        <f t="shared" si="3"/>
        <v>Normal</v>
      </c>
      <c r="T40" s="26"/>
      <c r="AH40" t="str">
        <f t="shared" si="1"/>
        <v>Har</v>
      </c>
    </row>
    <row r="41" spans="1:34" ht="15" thickBot="1">
      <c r="A41" s="22" t="s">
        <v>146</v>
      </c>
      <c r="B41" s="8">
        <v>45443</v>
      </c>
      <c r="C41" s="7" t="s">
        <v>147</v>
      </c>
      <c r="D41" s="7" t="s">
        <v>148</v>
      </c>
      <c r="E41" s="7" t="s">
        <v>114</v>
      </c>
      <c r="F41" s="7" t="s">
        <v>115</v>
      </c>
      <c r="G41" s="7" t="s">
        <v>33</v>
      </c>
      <c r="H41" s="2">
        <v>1</v>
      </c>
      <c r="I41" s="2">
        <v>79.989999999999995</v>
      </c>
      <c r="J41" s="7" t="s">
        <v>20</v>
      </c>
      <c r="K41" s="7" t="s">
        <v>40</v>
      </c>
      <c r="L41" s="7" t="s">
        <v>36</v>
      </c>
      <c r="M41" s="8">
        <v>44917</v>
      </c>
      <c r="N41" s="5">
        <f t="shared" si="2"/>
        <v>79.989999999999995</v>
      </c>
      <c r="O41" s="7" t="str">
        <f>TEXT(Data!$B41,"mmm")</f>
        <v>May</v>
      </c>
      <c r="P41" s="9">
        <f>YEAR(Data!$B41)</f>
        <v>2024</v>
      </c>
      <c r="Q41" s="10">
        <f t="shared" ca="1" si="0"/>
        <v>46122.659248495373</v>
      </c>
      <c r="R41" s="20" t="str" cm="1">
        <f t="array" ref="R41">INDEX(F41:F239,MODE(MATCH(F41:F239,F41:F239,0)))</f>
        <v>Keyboard</v>
      </c>
      <c r="S41" s="36" t="str">
        <f t="shared" si="3"/>
        <v>Normal</v>
      </c>
      <c r="T41" s="27"/>
      <c r="AH41" t="str">
        <f t="shared" si="1"/>
        <v>Dan</v>
      </c>
    </row>
    <row r="42" spans="1:34" ht="15" thickBot="1">
      <c r="A42" s="19" t="s">
        <v>149</v>
      </c>
      <c r="B42" s="4">
        <v>45444</v>
      </c>
      <c r="C42" s="3" t="s">
        <v>150</v>
      </c>
      <c r="D42" s="3" t="s">
        <v>151</v>
      </c>
      <c r="E42" s="3" t="s">
        <v>31</v>
      </c>
      <c r="F42" s="3" t="s">
        <v>32</v>
      </c>
      <c r="G42" s="3" t="s">
        <v>33</v>
      </c>
      <c r="H42" s="5">
        <v>2</v>
      </c>
      <c r="I42" s="5">
        <v>59.99</v>
      </c>
      <c r="J42" s="3" t="s">
        <v>20</v>
      </c>
      <c r="K42" s="3" t="s">
        <v>50</v>
      </c>
      <c r="L42" s="3" t="s">
        <v>22</v>
      </c>
      <c r="M42" s="4">
        <v>45390</v>
      </c>
      <c r="N42" s="5">
        <f t="shared" si="2"/>
        <v>119.98</v>
      </c>
      <c r="O42" s="3" t="str">
        <f>TEXT(Data!$B42,"mmm")</f>
        <v>Jun</v>
      </c>
      <c r="P42" s="11">
        <f>YEAR(Data!$B42)</f>
        <v>2024</v>
      </c>
      <c r="Q42" s="12">
        <f t="shared" ca="1" si="0"/>
        <v>46122.659248495373</v>
      </c>
      <c r="R42" s="21" t="str" cm="1">
        <f t="array" ref="R42">INDEX(F42:F240,MODE(MATCH(F42:F240,F42:F240,0)))</f>
        <v>Keyboard</v>
      </c>
      <c r="S42" s="19" t="str">
        <f t="shared" si="3"/>
        <v>Normal</v>
      </c>
      <c r="T42" s="26"/>
      <c r="AH42" t="str">
        <f t="shared" si="1"/>
        <v>Sha</v>
      </c>
    </row>
    <row r="43" spans="1:34" ht="15" thickBot="1">
      <c r="A43" s="22" t="s">
        <v>152</v>
      </c>
      <c r="B43" s="8">
        <v>45444</v>
      </c>
      <c r="C43" s="7" t="s">
        <v>55</v>
      </c>
      <c r="D43" s="7" t="s">
        <v>56</v>
      </c>
      <c r="E43" s="7" t="s">
        <v>117</v>
      </c>
      <c r="F43" s="7" t="s">
        <v>118</v>
      </c>
      <c r="G43" s="7" t="s">
        <v>19</v>
      </c>
      <c r="H43" s="2">
        <v>1</v>
      </c>
      <c r="I43" s="2">
        <v>89.99</v>
      </c>
      <c r="J43" s="7" t="s">
        <v>20</v>
      </c>
      <c r="K43" s="7" t="s">
        <v>40</v>
      </c>
      <c r="L43" s="7" t="s">
        <v>22</v>
      </c>
      <c r="M43" s="8">
        <v>45141</v>
      </c>
      <c r="N43" s="5">
        <f t="shared" si="2"/>
        <v>89.99</v>
      </c>
      <c r="O43" s="7" t="str">
        <f>TEXT(Data!$B43,"mmm")</f>
        <v>Jun</v>
      </c>
      <c r="P43" s="9">
        <f>YEAR(Data!$B43)</f>
        <v>2024</v>
      </c>
      <c r="Q43" s="10">
        <f t="shared" ca="1" si="0"/>
        <v>46122.659248495373</v>
      </c>
      <c r="R43" s="20" t="str" cm="1">
        <f t="array" ref="R43">INDEX(F43:F241,MODE(MATCH(F43:F241,F43:F241,0)))</f>
        <v>Keyboard</v>
      </c>
      <c r="S43" s="36" t="str">
        <f t="shared" si="3"/>
        <v>Normal</v>
      </c>
      <c r="T43" s="27"/>
      <c r="AH43" t="str">
        <f t="shared" si="1"/>
        <v>Cha</v>
      </c>
    </row>
    <row r="44" spans="1:34" ht="15" thickBot="1">
      <c r="A44" s="19" t="s">
        <v>153</v>
      </c>
      <c r="B44" s="4">
        <v>45446</v>
      </c>
      <c r="C44" s="3" t="s">
        <v>154</v>
      </c>
      <c r="D44" s="3" t="s">
        <v>155</v>
      </c>
      <c r="E44" s="3" t="s">
        <v>117</v>
      </c>
      <c r="F44" s="3" t="s">
        <v>118</v>
      </c>
      <c r="G44" s="3" t="s">
        <v>19</v>
      </c>
      <c r="H44" s="5">
        <v>5</v>
      </c>
      <c r="I44" s="5">
        <v>89.99</v>
      </c>
      <c r="J44" s="3" t="s">
        <v>26</v>
      </c>
      <c r="K44" s="3" t="s">
        <v>63</v>
      </c>
      <c r="L44" s="3" t="s">
        <v>36</v>
      </c>
      <c r="M44" s="4">
        <v>44587</v>
      </c>
      <c r="N44" s="5">
        <f t="shared" si="2"/>
        <v>449.95</v>
      </c>
      <c r="O44" s="3" t="str">
        <f>TEXT(Data!$B44,"mmm")</f>
        <v>Jun</v>
      </c>
      <c r="P44" s="11">
        <f>YEAR(Data!$B44)</f>
        <v>2024</v>
      </c>
      <c r="Q44" s="12">
        <f t="shared" ca="1" si="0"/>
        <v>46122.659248495373</v>
      </c>
      <c r="R44" s="21" t="str" cm="1">
        <f t="array" ref="R44">INDEX(F44:F242,MODE(MATCH(F44:F242,F44:F242,0)))</f>
        <v>Keyboard</v>
      </c>
      <c r="S44" s="19" t="str">
        <f t="shared" si="3"/>
        <v>Normal</v>
      </c>
      <c r="T44" s="26"/>
      <c r="AH44" t="str">
        <f t="shared" si="1"/>
        <v>Sar</v>
      </c>
    </row>
    <row r="45" spans="1:34" ht="15" thickBot="1">
      <c r="A45" s="22" t="s">
        <v>156</v>
      </c>
      <c r="B45" s="8">
        <v>45449</v>
      </c>
      <c r="C45" s="7" t="s">
        <v>24</v>
      </c>
      <c r="D45" s="7" t="s">
        <v>25</v>
      </c>
      <c r="E45" s="7" t="s">
        <v>17</v>
      </c>
      <c r="F45" s="7" t="s">
        <v>18</v>
      </c>
      <c r="G45" s="7" t="s">
        <v>19</v>
      </c>
      <c r="H45" s="2">
        <v>5</v>
      </c>
      <c r="I45" s="2">
        <v>249.99</v>
      </c>
      <c r="J45" s="7" t="s">
        <v>26</v>
      </c>
      <c r="K45" s="7" t="s">
        <v>63</v>
      </c>
      <c r="L45" s="7" t="s">
        <v>36</v>
      </c>
      <c r="M45" s="8">
        <v>44707</v>
      </c>
      <c r="N45" s="5">
        <f t="shared" si="2"/>
        <v>1249.95</v>
      </c>
      <c r="O45" s="7" t="str">
        <f>TEXT(Data!$B45,"mmm")</f>
        <v>Jun</v>
      </c>
      <c r="P45" s="9">
        <f>YEAR(Data!$B45)</f>
        <v>2024</v>
      </c>
      <c r="Q45" s="10">
        <f t="shared" ca="1" si="0"/>
        <v>46122.659248495373</v>
      </c>
      <c r="R45" s="20" t="str" cm="1">
        <f t="array" ref="R45">INDEX(F45:F243,MODE(MATCH(F45:F243,F45:F243,0)))</f>
        <v>Bookshelf</v>
      </c>
      <c r="S45" s="36" t="str">
        <f t="shared" si="3"/>
        <v>Normal</v>
      </c>
      <c r="T45" s="27"/>
      <c r="AH45" t="str">
        <f t="shared" si="1"/>
        <v>Jos</v>
      </c>
    </row>
    <row r="46" spans="1:34" ht="15" thickBot="1">
      <c r="A46" s="19" t="s">
        <v>157</v>
      </c>
      <c r="B46" s="4">
        <v>45449</v>
      </c>
      <c r="C46" s="3" t="s">
        <v>158</v>
      </c>
      <c r="D46" s="3" t="s">
        <v>159</v>
      </c>
      <c r="E46" s="3" t="s">
        <v>117</v>
      </c>
      <c r="F46" s="3" t="s">
        <v>118</v>
      </c>
      <c r="G46" s="3" t="s">
        <v>19</v>
      </c>
      <c r="H46" s="5">
        <v>1</v>
      </c>
      <c r="I46" s="5">
        <v>89.99</v>
      </c>
      <c r="J46" s="3" t="s">
        <v>26</v>
      </c>
      <c r="K46" s="3" t="s">
        <v>35</v>
      </c>
      <c r="L46" s="3" t="s">
        <v>36</v>
      </c>
      <c r="M46" s="4">
        <v>44582</v>
      </c>
      <c r="N46" s="5">
        <f t="shared" si="2"/>
        <v>89.99</v>
      </c>
      <c r="O46" s="3" t="str">
        <f>TEXT(Data!$B46,"mmm")</f>
        <v>Jun</v>
      </c>
      <c r="P46" s="11">
        <f>YEAR(Data!$B46)</f>
        <v>2024</v>
      </c>
      <c r="Q46" s="12">
        <f t="shared" ca="1" si="0"/>
        <v>46122.659248495373</v>
      </c>
      <c r="R46" s="21" t="str" cm="1">
        <f t="array" ref="R46">INDEX(F46:F244,MODE(MATCH(F46:F244,F46:F244,0)))</f>
        <v>Bookshelf</v>
      </c>
      <c r="S46" s="19" t="str">
        <f t="shared" si="3"/>
        <v>Normal</v>
      </c>
      <c r="T46" s="26"/>
      <c r="AH46" t="str">
        <f t="shared" si="1"/>
        <v>Bet</v>
      </c>
    </row>
    <row r="47" spans="1:34" ht="15" thickBot="1">
      <c r="A47" s="22" t="s">
        <v>160</v>
      </c>
      <c r="B47" s="8">
        <v>45450</v>
      </c>
      <c r="C47" s="7" t="s">
        <v>42</v>
      </c>
      <c r="D47" s="7" t="s">
        <v>43</v>
      </c>
      <c r="E47" s="7" t="s">
        <v>44</v>
      </c>
      <c r="F47" s="7" t="s">
        <v>45</v>
      </c>
      <c r="G47" s="7" t="s">
        <v>46</v>
      </c>
      <c r="H47" s="2">
        <v>2</v>
      </c>
      <c r="I47" s="2">
        <v>149.99</v>
      </c>
      <c r="J47" s="7" t="s">
        <v>20</v>
      </c>
      <c r="K47" s="7" t="s">
        <v>63</v>
      </c>
      <c r="L47" s="7" t="s">
        <v>27</v>
      </c>
      <c r="M47" s="8">
        <v>44645</v>
      </c>
      <c r="N47" s="5">
        <f t="shared" si="2"/>
        <v>299.98</v>
      </c>
      <c r="O47" s="7" t="str">
        <f>TEXT(Data!$B47,"mmm")</f>
        <v>Jun</v>
      </c>
      <c r="P47" s="9">
        <f>YEAR(Data!$B47)</f>
        <v>2024</v>
      </c>
      <c r="Q47" s="10">
        <f t="shared" ca="1" si="0"/>
        <v>46122.659248495373</v>
      </c>
      <c r="R47" s="20" t="str" cm="1">
        <f t="array" ref="R47">INDEX(F47:F245,MODE(MATCH(F47:F245,F47:F245,0)))</f>
        <v>Bookshelf</v>
      </c>
      <c r="S47" s="36" t="str">
        <f t="shared" si="3"/>
        <v>Normal</v>
      </c>
      <c r="T47" s="27"/>
      <c r="AH47" t="str">
        <f t="shared" si="1"/>
        <v>Mic</v>
      </c>
    </row>
    <row r="48" spans="1:34" ht="15" thickBot="1">
      <c r="A48" s="19" t="s">
        <v>161</v>
      </c>
      <c r="B48" s="4">
        <v>45452</v>
      </c>
      <c r="C48" s="3" t="s">
        <v>162</v>
      </c>
      <c r="D48" s="3" t="s">
        <v>163</v>
      </c>
      <c r="E48" s="3" t="s">
        <v>31</v>
      </c>
      <c r="F48" s="3" t="s">
        <v>32</v>
      </c>
      <c r="G48" s="3" t="s">
        <v>33</v>
      </c>
      <c r="H48" s="5">
        <v>4</v>
      </c>
      <c r="I48" s="5">
        <v>59.99</v>
      </c>
      <c r="J48" s="3" t="s">
        <v>20</v>
      </c>
      <c r="K48" s="3" t="s">
        <v>63</v>
      </c>
      <c r="L48" s="3" t="s">
        <v>36</v>
      </c>
      <c r="M48" s="4">
        <v>44435</v>
      </c>
      <c r="N48" s="5">
        <f t="shared" si="2"/>
        <v>239.96</v>
      </c>
      <c r="O48" s="3" t="str">
        <f>TEXT(Data!$B48,"mmm")</f>
        <v>Jun</v>
      </c>
      <c r="P48" s="11">
        <f>YEAR(Data!$B48)</f>
        <v>2024</v>
      </c>
      <c r="Q48" s="12">
        <f t="shared" ca="1" si="0"/>
        <v>46122.659248495373</v>
      </c>
      <c r="R48" s="21" t="str" cm="1">
        <f t="array" ref="R48">INDEX(F48:F246,MODE(MATCH(F48:F246,F48:F246,0)))</f>
        <v>Bookshelf</v>
      </c>
      <c r="S48" s="19" t="str">
        <f t="shared" si="3"/>
        <v>Normal</v>
      </c>
      <c r="T48" s="26"/>
      <c r="AH48" t="str">
        <f t="shared" si="1"/>
        <v>Jul</v>
      </c>
    </row>
    <row r="49" spans="1:34" ht="15" thickBot="1">
      <c r="A49" s="22" t="s">
        <v>164</v>
      </c>
      <c r="B49" s="8">
        <v>45456</v>
      </c>
      <c r="C49" s="7" t="s">
        <v>129</v>
      </c>
      <c r="D49" s="7" t="s">
        <v>130</v>
      </c>
      <c r="E49" s="7" t="s">
        <v>117</v>
      </c>
      <c r="F49" s="7" t="s">
        <v>118</v>
      </c>
      <c r="G49" s="7" t="s">
        <v>19</v>
      </c>
      <c r="H49" s="2">
        <v>5</v>
      </c>
      <c r="I49" s="2">
        <v>89.99</v>
      </c>
      <c r="J49" s="7" t="s">
        <v>20</v>
      </c>
      <c r="K49" s="7" t="s">
        <v>21</v>
      </c>
      <c r="L49" s="7" t="s">
        <v>27</v>
      </c>
      <c r="M49" s="8">
        <v>44579</v>
      </c>
      <c r="N49" s="5">
        <f t="shared" si="2"/>
        <v>449.95</v>
      </c>
      <c r="O49" s="7" t="str">
        <f>TEXT(Data!$B49,"mmm")</f>
        <v>Jun</v>
      </c>
      <c r="P49" s="9">
        <f>YEAR(Data!$B49)</f>
        <v>2024</v>
      </c>
      <c r="Q49" s="10">
        <f t="shared" ca="1" si="0"/>
        <v>46122.659248495373</v>
      </c>
      <c r="R49" s="20" t="str" cm="1">
        <f t="array" ref="R49">INDEX(F49:F247,MODE(MATCH(F49:F247,F49:F247,0)))</f>
        <v>Bookshelf</v>
      </c>
      <c r="S49" s="36" t="str">
        <f t="shared" si="3"/>
        <v>Normal</v>
      </c>
      <c r="T49" s="27"/>
      <c r="AH49" t="str">
        <f t="shared" si="1"/>
        <v>Lis</v>
      </c>
    </row>
    <row r="50" spans="1:34" ht="15" thickBot="1">
      <c r="A50" s="19" t="s">
        <v>165</v>
      </c>
      <c r="B50" s="4">
        <v>45459</v>
      </c>
      <c r="C50" s="3" t="s">
        <v>99</v>
      </c>
      <c r="D50" s="3" t="s">
        <v>100</v>
      </c>
      <c r="E50" s="3" t="s">
        <v>117</v>
      </c>
      <c r="F50" s="3" t="s">
        <v>118</v>
      </c>
      <c r="G50" s="3" t="s">
        <v>19</v>
      </c>
      <c r="H50" s="5">
        <v>2</v>
      </c>
      <c r="I50" s="5">
        <v>89.99</v>
      </c>
      <c r="J50" s="3" t="s">
        <v>26</v>
      </c>
      <c r="K50" s="3" t="s">
        <v>35</v>
      </c>
      <c r="L50" s="3" t="s">
        <v>27</v>
      </c>
      <c r="M50" s="4">
        <v>44471</v>
      </c>
      <c r="N50" s="5">
        <f t="shared" si="2"/>
        <v>179.98</v>
      </c>
      <c r="O50" s="3" t="str">
        <f>TEXT(Data!$B50,"mmm")</f>
        <v>Jun</v>
      </c>
      <c r="P50" s="11">
        <f>YEAR(Data!$B50)</f>
        <v>2024</v>
      </c>
      <c r="Q50" s="12">
        <f t="shared" ca="1" si="0"/>
        <v>46122.659248495373</v>
      </c>
      <c r="R50" s="21" t="str" cm="1">
        <f t="array" ref="R50">INDEX(F50:F248,MODE(MATCH(F50:F248,F50:F248,0)))</f>
        <v>Bookshelf</v>
      </c>
      <c r="S50" s="19" t="str">
        <f t="shared" si="3"/>
        <v>Normal</v>
      </c>
      <c r="T50" s="26"/>
      <c r="AH50" t="str">
        <f t="shared" si="1"/>
        <v>Pat</v>
      </c>
    </row>
    <row r="51" spans="1:34" ht="15" thickBot="1">
      <c r="A51" s="22" t="s">
        <v>166</v>
      </c>
      <c r="B51" s="8">
        <v>45459</v>
      </c>
      <c r="C51" s="7" t="s">
        <v>15</v>
      </c>
      <c r="D51" s="7" t="s">
        <v>16</v>
      </c>
      <c r="E51" s="7" t="s">
        <v>61</v>
      </c>
      <c r="F51" s="7" t="s">
        <v>62</v>
      </c>
      <c r="G51" s="7" t="s">
        <v>19</v>
      </c>
      <c r="H51" s="2">
        <v>5</v>
      </c>
      <c r="I51" s="2">
        <v>899.99</v>
      </c>
      <c r="J51" s="7" t="s">
        <v>26</v>
      </c>
      <c r="K51" s="7" t="s">
        <v>35</v>
      </c>
      <c r="L51" s="7" t="s">
        <v>36</v>
      </c>
      <c r="M51" s="8">
        <v>44974</v>
      </c>
      <c r="N51" s="5">
        <f t="shared" si="2"/>
        <v>4499.95</v>
      </c>
      <c r="O51" s="7" t="str">
        <f>TEXT(Data!$B51,"mmm")</f>
        <v>Jun</v>
      </c>
      <c r="P51" s="9">
        <f>YEAR(Data!$B51)</f>
        <v>2024</v>
      </c>
      <c r="Q51" s="10">
        <f t="shared" ca="1" si="0"/>
        <v>46122.659248495373</v>
      </c>
      <c r="R51" s="20" t="str" cm="1">
        <f t="array" ref="R51">INDEX(F51:F249,MODE(MATCH(F51:F249,F51:F249,0)))</f>
        <v>Bookshelf</v>
      </c>
      <c r="S51" s="36" t="str">
        <f t="shared" si="3"/>
        <v>High Value</v>
      </c>
      <c r="T51" s="27"/>
      <c r="AH51" t="str">
        <f t="shared" si="1"/>
        <v>Pau</v>
      </c>
    </row>
    <row r="52" spans="1:34" ht="15" thickBot="1">
      <c r="A52" s="19" t="s">
        <v>167</v>
      </c>
      <c r="B52" s="4">
        <v>45459</v>
      </c>
      <c r="C52" s="3" t="s">
        <v>123</v>
      </c>
      <c r="D52" s="3" t="s">
        <v>124</v>
      </c>
      <c r="E52" s="3" t="s">
        <v>61</v>
      </c>
      <c r="F52" s="3" t="s">
        <v>62</v>
      </c>
      <c r="G52" s="3" t="s">
        <v>19</v>
      </c>
      <c r="H52" s="5">
        <v>5</v>
      </c>
      <c r="I52" s="5">
        <v>899.99</v>
      </c>
      <c r="J52" s="3" t="s">
        <v>34</v>
      </c>
      <c r="K52" s="3" t="s">
        <v>63</v>
      </c>
      <c r="L52" s="3" t="s">
        <v>27</v>
      </c>
      <c r="M52" s="4">
        <v>45278</v>
      </c>
      <c r="N52" s="5">
        <f t="shared" si="2"/>
        <v>4499.95</v>
      </c>
      <c r="O52" s="3" t="str">
        <f>TEXT(Data!$B52,"mmm")</f>
        <v>Jun</v>
      </c>
      <c r="P52" s="11">
        <f>YEAR(Data!$B52)</f>
        <v>2024</v>
      </c>
      <c r="Q52" s="12">
        <f t="shared" ca="1" si="0"/>
        <v>46122.659248495373</v>
      </c>
      <c r="R52" s="21" t="str" cm="1">
        <f t="array" ref="R52">INDEX(F52:F250,MODE(MATCH(F52:F250,F52:F250,0)))</f>
        <v>Bookshelf</v>
      </c>
      <c r="S52" s="19" t="str">
        <f t="shared" si="3"/>
        <v>High Value</v>
      </c>
      <c r="T52" s="26"/>
      <c r="AH52" t="str">
        <f t="shared" si="1"/>
        <v>Edw</v>
      </c>
    </row>
    <row r="53" spans="1:34" ht="15" thickBot="1">
      <c r="A53" s="22" t="s">
        <v>168</v>
      </c>
      <c r="B53" s="8">
        <v>45460</v>
      </c>
      <c r="C53" s="7" t="s">
        <v>158</v>
      </c>
      <c r="D53" s="7" t="s">
        <v>159</v>
      </c>
      <c r="E53" s="7" t="s">
        <v>31</v>
      </c>
      <c r="F53" s="7" t="s">
        <v>32</v>
      </c>
      <c r="G53" s="7" t="s">
        <v>33</v>
      </c>
      <c r="H53" s="2">
        <v>1</v>
      </c>
      <c r="I53" s="2">
        <v>59.99</v>
      </c>
      <c r="J53" s="7" t="s">
        <v>57</v>
      </c>
      <c r="K53" s="7" t="s">
        <v>50</v>
      </c>
      <c r="L53" s="7" t="s">
        <v>27</v>
      </c>
      <c r="M53" s="8">
        <v>45190</v>
      </c>
      <c r="N53" s="5">
        <f t="shared" si="2"/>
        <v>59.99</v>
      </c>
      <c r="O53" s="7" t="str">
        <f>TEXT(Data!$B53,"mmm")</f>
        <v>Jun</v>
      </c>
      <c r="P53" s="9">
        <f>YEAR(Data!$B53)</f>
        <v>2024</v>
      </c>
      <c r="Q53" s="10">
        <f t="shared" ca="1" si="0"/>
        <v>46122.659248495373</v>
      </c>
      <c r="R53" s="20" t="str" cm="1">
        <f t="array" ref="R53">INDEX(F53:F251,MODE(MATCH(F53:F251,F53:F251,0)))</f>
        <v>Keyboard</v>
      </c>
      <c r="S53" s="36" t="str">
        <f t="shared" si="3"/>
        <v>Normal</v>
      </c>
      <c r="T53" s="27"/>
      <c r="AH53" t="str">
        <f t="shared" si="1"/>
        <v>Bet</v>
      </c>
    </row>
    <row r="54" spans="1:34" ht="15" thickBot="1">
      <c r="A54" s="19" t="s">
        <v>169</v>
      </c>
      <c r="B54" s="4">
        <v>45460</v>
      </c>
      <c r="C54" s="3" t="s">
        <v>141</v>
      </c>
      <c r="D54" s="3" t="s">
        <v>142</v>
      </c>
      <c r="E54" s="3" t="s">
        <v>105</v>
      </c>
      <c r="F54" s="3" t="s">
        <v>106</v>
      </c>
      <c r="G54" s="3" t="s">
        <v>46</v>
      </c>
      <c r="H54" s="5">
        <v>2</v>
      </c>
      <c r="I54" s="5">
        <v>299.99</v>
      </c>
      <c r="J54" s="3" t="s">
        <v>57</v>
      </c>
      <c r="K54" s="3" t="s">
        <v>63</v>
      </c>
      <c r="L54" s="3" t="s">
        <v>36</v>
      </c>
      <c r="M54" s="4">
        <v>45253</v>
      </c>
      <c r="N54" s="5">
        <f t="shared" si="2"/>
        <v>599.98</v>
      </c>
      <c r="O54" s="3" t="str">
        <f>TEXT(Data!$B54,"mmm")</f>
        <v>Jun</v>
      </c>
      <c r="P54" s="11">
        <f>YEAR(Data!$B54)</f>
        <v>2024</v>
      </c>
      <c r="Q54" s="12">
        <f t="shared" ca="1" si="0"/>
        <v>46122.659248495373</v>
      </c>
      <c r="R54" s="21"/>
      <c r="S54" s="19" t="str">
        <f t="shared" si="3"/>
        <v>Normal</v>
      </c>
      <c r="T54" s="26"/>
      <c r="AH54" t="str">
        <f t="shared" si="1"/>
        <v>Jen</v>
      </c>
    </row>
    <row r="55" spans="1:34" ht="15" thickBot="1">
      <c r="A55" s="22" t="s">
        <v>170</v>
      </c>
      <c r="B55" s="8">
        <v>45468</v>
      </c>
      <c r="C55" s="7" t="s">
        <v>171</v>
      </c>
      <c r="D55" s="7" t="s">
        <v>172</v>
      </c>
      <c r="E55" s="7" t="s">
        <v>117</v>
      </c>
      <c r="F55" s="7" t="s">
        <v>118</v>
      </c>
      <c r="G55" s="7" t="s">
        <v>19</v>
      </c>
      <c r="H55" s="2">
        <v>4</v>
      </c>
      <c r="I55" s="2">
        <v>89.99</v>
      </c>
      <c r="J55" s="7" t="s">
        <v>57</v>
      </c>
      <c r="K55" s="7" t="s">
        <v>35</v>
      </c>
      <c r="L55" s="7" t="s">
        <v>22</v>
      </c>
      <c r="M55" s="8">
        <v>45281</v>
      </c>
      <c r="N55" s="5">
        <f t="shared" si="2"/>
        <v>359.96</v>
      </c>
      <c r="O55" s="7" t="str">
        <f>TEXT(Data!$B55,"mmm")</f>
        <v>Jun</v>
      </c>
      <c r="P55" s="9">
        <f>YEAR(Data!$B55)</f>
        <v>2024</v>
      </c>
      <c r="Q55" s="10">
        <f t="shared" ca="1" si="0"/>
        <v>46122.659248495373</v>
      </c>
      <c r="R55" s="20"/>
      <c r="S55" s="36" t="str">
        <f t="shared" si="3"/>
        <v>Normal</v>
      </c>
      <c r="T55" s="27"/>
      <c r="AH55" t="str">
        <f t="shared" si="1"/>
        <v>Ray</v>
      </c>
    </row>
    <row r="56" spans="1:34" ht="15" thickBot="1">
      <c r="A56" s="19" t="s">
        <v>173</v>
      </c>
      <c r="B56" s="4">
        <v>45469</v>
      </c>
      <c r="C56" s="3" t="s">
        <v>29</v>
      </c>
      <c r="D56" s="3" t="s">
        <v>30</v>
      </c>
      <c r="E56" s="3" t="s">
        <v>114</v>
      </c>
      <c r="F56" s="3" t="s">
        <v>115</v>
      </c>
      <c r="G56" s="3" t="s">
        <v>33</v>
      </c>
      <c r="H56" s="5">
        <v>1</v>
      </c>
      <c r="I56" s="5">
        <v>79.989999999999995</v>
      </c>
      <c r="J56" s="3" t="s">
        <v>34</v>
      </c>
      <c r="K56" s="3" t="s">
        <v>21</v>
      </c>
      <c r="L56" s="3" t="s">
        <v>27</v>
      </c>
      <c r="M56" s="4">
        <v>45352</v>
      </c>
      <c r="N56" s="5">
        <f t="shared" si="2"/>
        <v>79.989999999999995</v>
      </c>
      <c r="O56" s="3" t="str">
        <f>TEXT(Data!$B56,"mmm")</f>
        <v>Jun</v>
      </c>
      <c r="P56" s="11">
        <f>YEAR(Data!$B56)</f>
        <v>2024</v>
      </c>
      <c r="Q56" s="12">
        <f t="shared" ca="1" si="0"/>
        <v>46122.659248495373</v>
      </c>
      <c r="R56" s="21"/>
      <c r="S56" s="19" t="str">
        <f t="shared" si="3"/>
        <v>Normal</v>
      </c>
      <c r="T56" s="26"/>
      <c r="AH56" t="str">
        <f t="shared" si="1"/>
        <v>Kev</v>
      </c>
    </row>
    <row r="57" spans="1:34" ht="15" thickBot="1">
      <c r="A57" s="22" t="s">
        <v>174</v>
      </c>
      <c r="B57" s="8">
        <v>45469</v>
      </c>
      <c r="C57" s="7" t="s">
        <v>59</v>
      </c>
      <c r="D57" s="7" t="s">
        <v>60</v>
      </c>
      <c r="E57" s="7" t="s">
        <v>117</v>
      </c>
      <c r="F57" s="7" t="s">
        <v>118</v>
      </c>
      <c r="G57" s="7" t="s">
        <v>19</v>
      </c>
      <c r="H57" s="2">
        <v>2</v>
      </c>
      <c r="I57" s="2">
        <v>89.99</v>
      </c>
      <c r="J57" s="7" t="s">
        <v>20</v>
      </c>
      <c r="K57" s="7" t="s">
        <v>50</v>
      </c>
      <c r="L57" s="7" t="s">
        <v>22</v>
      </c>
      <c r="M57" s="8">
        <v>44438</v>
      </c>
      <c r="N57" s="5">
        <f t="shared" si="2"/>
        <v>179.98</v>
      </c>
      <c r="O57" s="7" t="str">
        <f>TEXT(Data!$B57,"mmm")</f>
        <v>Jun</v>
      </c>
      <c r="P57" s="9">
        <f>YEAR(Data!$B57)</f>
        <v>2024</v>
      </c>
      <c r="Q57" s="10">
        <f t="shared" ca="1" si="0"/>
        <v>46122.659248495373</v>
      </c>
      <c r="R57" s="20"/>
      <c r="S57" s="36" t="str">
        <f t="shared" si="3"/>
        <v>Normal</v>
      </c>
      <c r="T57" s="27"/>
      <c r="AH57" t="str">
        <f t="shared" si="1"/>
        <v>Rob</v>
      </c>
    </row>
    <row r="58" spans="1:34" ht="15" thickBot="1">
      <c r="A58" s="19" t="s">
        <v>175</v>
      </c>
      <c r="B58" s="4">
        <v>45471</v>
      </c>
      <c r="C58" s="3" t="s">
        <v>38</v>
      </c>
      <c r="D58" s="3" t="s">
        <v>39</v>
      </c>
      <c r="E58" s="3" t="s">
        <v>80</v>
      </c>
      <c r="F58" s="3" t="s">
        <v>81</v>
      </c>
      <c r="G58" s="3" t="s">
        <v>19</v>
      </c>
      <c r="H58" s="5">
        <v>3</v>
      </c>
      <c r="I58" s="5">
        <v>699.99</v>
      </c>
      <c r="J58" s="3" t="s">
        <v>26</v>
      </c>
      <c r="K58" s="3" t="s">
        <v>63</v>
      </c>
      <c r="L58" s="3" t="s">
        <v>27</v>
      </c>
      <c r="M58" s="4">
        <v>45102</v>
      </c>
      <c r="N58" s="5">
        <f t="shared" si="2"/>
        <v>2099.9700000000003</v>
      </c>
      <c r="O58" s="3" t="str">
        <f>TEXT(Data!$B58,"mmm")</f>
        <v>Jun</v>
      </c>
      <c r="P58" s="11">
        <f>YEAR(Data!$B58)</f>
        <v>2024</v>
      </c>
      <c r="Q58" s="12">
        <f t="shared" ca="1" si="0"/>
        <v>46122.659248495373</v>
      </c>
      <c r="R58" s="21"/>
      <c r="S58" s="19" t="str">
        <f t="shared" si="3"/>
        <v>High Value</v>
      </c>
      <c r="T58" s="26"/>
      <c r="AH58" t="str">
        <f t="shared" si="1"/>
        <v>Kat</v>
      </c>
    </row>
    <row r="59" spans="1:34" ht="15" thickBot="1">
      <c r="A59" s="22" t="s">
        <v>176</v>
      </c>
      <c r="B59" s="8">
        <v>45471</v>
      </c>
      <c r="C59" s="7" t="s">
        <v>99</v>
      </c>
      <c r="D59" s="7" t="s">
        <v>100</v>
      </c>
      <c r="E59" s="7" t="s">
        <v>61</v>
      </c>
      <c r="F59" s="7" t="s">
        <v>62</v>
      </c>
      <c r="G59" s="7" t="s">
        <v>19</v>
      </c>
      <c r="H59" s="2">
        <v>4</v>
      </c>
      <c r="I59" s="2">
        <v>899.99</v>
      </c>
      <c r="J59" s="7" t="s">
        <v>26</v>
      </c>
      <c r="K59" s="7" t="s">
        <v>63</v>
      </c>
      <c r="L59" s="7" t="s">
        <v>27</v>
      </c>
      <c r="M59" s="8">
        <v>44993</v>
      </c>
      <c r="N59" s="5">
        <f t="shared" si="2"/>
        <v>3599.96</v>
      </c>
      <c r="O59" s="7" t="str">
        <f>TEXT(Data!$B59,"mmm")</f>
        <v>Jun</v>
      </c>
      <c r="P59" s="9">
        <f>YEAR(Data!$B59)</f>
        <v>2024</v>
      </c>
      <c r="Q59" s="10">
        <f t="shared" ca="1" si="0"/>
        <v>46122.659248495373</v>
      </c>
      <c r="R59" s="20"/>
      <c r="S59" s="36" t="str">
        <f t="shared" si="3"/>
        <v>High Value</v>
      </c>
      <c r="T59" s="27"/>
      <c r="AH59" t="str">
        <f t="shared" si="1"/>
        <v>Pat</v>
      </c>
    </row>
    <row r="60" spans="1:34" ht="15" thickBot="1">
      <c r="A60" s="19" t="s">
        <v>177</v>
      </c>
      <c r="B60" s="4">
        <v>45472</v>
      </c>
      <c r="C60" s="3" t="s">
        <v>120</v>
      </c>
      <c r="D60" s="3" t="s">
        <v>121</v>
      </c>
      <c r="E60" s="3" t="s">
        <v>44</v>
      </c>
      <c r="F60" s="3" t="s">
        <v>45</v>
      </c>
      <c r="G60" s="3" t="s">
        <v>46</v>
      </c>
      <c r="H60" s="5">
        <v>1</v>
      </c>
      <c r="I60" s="5">
        <v>149.99</v>
      </c>
      <c r="J60" s="3" t="s">
        <v>34</v>
      </c>
      <c r="K60" s="3" t="s">
        <v>63</v>
      </c>
      <c r="L60" s="3" t="s">
        <v>22</v>
      </c>
      <c r="M60" s="4">
        <v>44851</v>
      </c>
      <c r="N60" s="5">
        <f t="shared" si="2"/>
        <v>149.99</v>
      </c>
      <c r="O60" s="3" t="str">
        <f>TEXT(Data!$B60,"mmm")</f>
        <v>Jun</v>
      </c>
      <c r="P60" s="11">
        <f>YEAR(Data!$B60)</f>
        <v>2024</v>
      </c>
      <c r="Q60" s="12">
        <f t="shared" ca="1" si="0"/>
        <v>46122.659248495373</v>
      </c>
      <c r="R60" s="21"/>
      <c r="S60" s="19" t="str">
        <f t="shared" si="3"/>
        <v>Normal</v>
      </c>
      <c r="T60" s="26"/>
      <c r="AH60" t="str">
        <f t="shared" si="1"/>
        <v>Hel</v>
      </c>
    </row>
    <row r="61" spans="1:34" ht="15" thickBot="1">
      <c r="A61" s="22" t="s">
        <v>178</v>
      </c>
      <c r="B61" s="8">
        <v>45474</v>
      </c>
      <c r="C61" s="7" t="s">
        <v>132</v>
      </c>
      <c r="D61" s="7" t="s">
        <v>133</v>
      </c>
      <c r="E61" s="7" t="s">
        <v>117</v>
      </c>
      <c r="F61" s="7" t="s">
        <v>118</v>
      </c>
      <c r="G61" s="7" t="s">
        <v>19</v>
      </c>
      <c r="H61" s="2">
        <v>2</v>
      </c>
      <c r="I61" s="2">
        <v>89.99</v>
      </c>
      <c r="J61" s="7" t="s">
        <v>34</v>
      </c>
      <c r="K61" s="7" t="s">
        <v>21</v>
      </c>
      <c r="L61" s="7" t="s">
        <v>27</v>
      </c>
      <c r="M61" s="8">
        <v>45275</v>
      </c>
      <c r="N61" s="5">
        <f t="shared" si="2"/>
        <v>179.98</v>
      </c>
      <c r="O61" s="7" t="str">
        <f>TEXT(Data!$B61,"mmm")</f>
        <v>Jul</v>
      </c>
      <c r="P61" s="9">
        <f>YEAR(Data!$B61)</f>
        <v>2024</v>
      </c>
      <c r="Q61" s="10">
        <f t="shared" ca="1" si="0"/>
        <v>46122.659248495373</v>
      </c>
      <c r="R61" s="20"/>
      <c r="S61" s="36" t="str">
        <f t="shared" si="3"/>
        <v>Normal</v>
      </c>
      <c r="T61" s="27"/>
      <c r="AH61" t="str">
        <f t="shared" si="1"/>
        <v>Emm</v>
      </c>
    </row>
    <row r="62" spans="1:34" ht="15" thickBot="1">
      <c r="A62" s="19" t="s">
        <v>179</v>
      </c>
      <c r="B62" s="4">
        <v>45475</v>
      </c>
      <c r="C62" s="3" t="s">
        <v>55</v>
      </c>
      <c r="D62" s="3" t="s">
        <v>56</v>
      </c>
      <c r="E62" s="3" t="s">
        <v>117</v>
      </c>
      <c r="F62" s="3" t="s">
        <v>118</v>
      </c>
      <c r="G62" s="3" t="s">
        <v>19</v>
      </c>
      <c r="H62" s="5">
        <v>1</v>
      </c>
      <c r="I62" s="5">
        <v>89.99</v>
      </c>
      <c r="J62" s="3" t="s">
        <v>34</v>
      </c>
      <c r="K62" s="3" t="s">
        <v>50</v>
      </c>
      <c r="L62" s="3" t="s">
        <v>36</v>
      </c>
      <c r="M62" s="4">
        <v>44802</v>
      </c>
      <c r="N62" s="5">
        <f t="shared" si="2"/>
        <v>89.99</v>
      </c>
      <c r="O62" s="3" t="str">
        <f>TEXT(Data!$B62,"mmm")</f>
        <v>Jul</v>
      </c>
      <c r="P62" s="11">
        <f>YEAR(Data!$B62)</f>
        <v>2024</v>
      </c>
      <c r="Q62" s="12">
        <f t="shared" ca="1" si="0"/>
        <v>46122.659248495373</v>
      </c>
      <c r="R62" s="21"/>
      <c r="S62" s="19" t="str">
        <f t="shared" si="3"/>
        <v>Normal</v>
      </c>
      <c r="T62" s="26"/>
      <c r="AH62" t="str">
        <f t="shared" si="1"/>
        <v>Cha</v>
      </c>
    </row>
    <row r="63" spans="1:34" ht="15" thickBot="1">
      <c r="A63" s="22" t="s">
        <v>180</v>
      </c>
      <c r="B63" s="8">
        <v>45476</v>
      </c>
      <c r="C63" s="7" t="s">
        <v>68</v>
      </c>
      <c r="D63" s="7" t="s">
        <v>69</v>
      </c>
      <c r="E63" s="7" t="s">
        <v>117</v>
      </c>
      <c r="F63" s="7" t="s">
        <v>118</v>
      </c>
      <c r="G63" s="7" t="s">
        <v>19</v>
      </c>
      <c r="H63" s="2">
        <v>1</v>
      </c>
      <c r="I63" s="2">
        <v>89.99</v>
      </c>
      <c r="J63" s="7" t="s">
        <v>20</v>
      </c>
      <c r="K63" s="7" t="s">
        <v>35</v>
      </c>
      <c r="L63" s="7" t="s">
        <v>36</v>
      </c>
      <c r="M63" s="8">
        <v>44611</v>
      </c>
      <c r="N63" s="5">
        <f t="shared" si="2"/>
        <v>89.99</v>
      </c>
      <c r="O63" s="7" t="str">
        <f>TEXT(Data!$B63,"mmm")</f>
        <v>Jul</v>
      </c>
      <c r="P63" s="9">
        <f>YEAR(Data!$B63)</f>
        <v>2024</v>
      </c>
      <c r="Q63" s="10">
        <f t="shared" ca="1" si="0"/>
        <v>46122.659248495373</v>
      </c>
      <c r="R63" s="20"/>
      <c r="S63" s="36" t="str">
        <f t="shared" si="3"/>
        <v>Normal</v>
      </c>
      <c r="T63" s="27"/>
      <c r="AH63" t="str">
        <f t="shared" si="1"/>
        <v>Sus</v>
      </c>
    </row>
    <row r="64" spans="1:34" ht="15" thickBot="1">
      <c r="A64" s="19" t="s">
        <v>181</v>
      </c>
      <c r="B64" s="4">
        <v>45476</v>
      </c>
      <c r="C64" s="3" t="s">
        <v>182</v>
      </c>
      <c r="D64" s="3" t="s">
        <v>183</v>
      </c>
      <c r="E64" s="3" t="s">
        <v>114</v>
      </c>
      <c r="F64" s="3" t="s">
        <v>115</v>
      </c>
      <c r="G64" s="3" t="s">
        <v>33</v>
      </c>
      <c r="H64" s="5">
        <v>5</v>
      </c>
      <c r="I64" s="5">
        <v>79.989999999999995</v>
      </c>
      <c r="J64" s="3" t="s">
        <v>57</v>
      </c>
      <c r="K64" s="3" t="s">
        <v>21</v>
      </c>
      <c r="L64" s="3" t="s">
        <v>22</v>
      </c>
      <c r="M64" s="4">
        <v>44981</v>
      </c>
      <c r="N64" s="5">
        <f t="shared" si="2"/>
        <v>399.95</v>
      </c>
      <c r="O64" s="3" t="str">
        <f>TEXT(Data!$B64,"mmm")</f>
        <v>Jul</v>
      </c>
      <c r="P64" s="11">
        <f>YEAR(Data!$B64)</f>
        <v>2024</v>
      </c>
      <c r="Q64" s="12">
        <f t="shared" ca="1" si="0"/>
        <v>46122.659248495373</v>
      </c>
      <c r="R64" s="21"/>
      <c r="S64" s="19" t="str">
        <f t="shared" si="3"/>
        <v>Normal</v>
      </c>
      <c r="T64" s="26"/>
      <c r="AH64" t="str">
        <f t="shared" si="1"/>
        <v>Dav</v>
      </c>
    </row>
    <row r="65" spans="1:34" ht="15" thickBot="1">
      <c r="A65" s="22" t="s">
        <v>184</v>
      </c>
      <c r="B65" s="8">
        <v>45481</v>
      </c>
      <c r="C65" s="7" t="s">
        <v>185</v>
      </c>
      <c r="D65" s="7" t="s">
        <v>186</v>
      </c>
      <c r="E65" s="7" t="s">
        <v>44</v>
      </c>
      <c r="F65" s="7" t="s">
        <v>45</v>
      </c>
      <c r="G65" s="7" t="s">
        <v>46</v>
      </c>
      <c r="H65" s="2">
        <v>1</v>
      </c>
      <c r="I65" s="2">
        <v>149.99</v>
      </c>
      <c r="J65" s="7" t="s">
        <v>34</v>
      </c>
      <c r="K65" s="7" t="s">
        <v>40</v>
      </c>
      <c r="L65" s="7" t="s">
        <v>22</v>
      </c>
      <c r="M65" s="8">
        <v>44421</v>
      </c>
      <c r="N65" s="5">
        <f t="shared" si="2"/>
        <v>149.99</v>
      </c>
      <c r="O65" s="7" t="str">
        <f>TEXT(Data!$B65,"mmm")</f>
        <v>Jul</v>
      </c>
      <c r="P65" s="9">
        <f>YEAR(Data!$B65)</f>
        <v>2024</v>
      </c>
      <c r="Q65" s="10">
        <f t="shared" ca="1" si="0"/>
        <v>46122.659248495373</v>
      </c>
      <c r="R65" s="20"/>
      <c r="S65" s="36" t="str">
        <f t="shared" si="3"/>
        <v>Normal</v>
      </c>
      <c r="T65" s="27"/>
      <c r="AH65" t="str">
        <f t="shared" si="1"/>
        <v>Mar</v>
      </c>
    </row>
    <row r="66" spans="1:34" ht="15" thickBot="1">
      <c r="A66" s="19" t="s">
        <v>187</v>
      </c>
      <c r="B66" s="4">
        <v>45481</v>
      </c>
      <c r="C66" s="3" t="s">
        <v>42</v>
      </c>
      <c r="D66" s="3" t="s">
        <v>43</v>
      </c>
      <c r="E66" s="3" t="s">
        <v>80</v>
      </c>
      <c r="F66" s="3" t="s">
        <v>81</v>
      </c>
      <c r="G66" s="3" t="s">
        <v>19</v>
      </c>
      <c r="H66" s="5">
        <v>2</v>
      </c>
      <c r="I66" s="5">
        <v>699.99</v>
      </c>
      <c r="J66" s="3" t="s">
        <v>34</v>
      </c>
      <c r="K66" s="3" t="s">
        <v>63</v>
      </c>
      <c r="L66" s="3" t="s">
        <v>27</v>
      </c>
      <c r="M66" s="4">
        <v>45389</v>
      </c>
      <c r="N66" s="5">
        <f t="shared" si="2"/>
        <v>1399.98</v>
      </c>
      <c r="O66" s="3" t="str">
        <f>TEXT(Data!$B66,"mmm")</f>
        <v>Jul</v>
      </c>
      <c r="P66" s="11">
        <f>YEAR(Data!$B66)</f>
        <v>2024</v>
      </c>
      <c r="Q66" s="12">
        <f t="shared" ref="Q66:Q129" ca="1" si="4">NOW()</f>
        <v>46122.659248495373</v>
      </c>
      <c r="R66" s="21"/>
      <c r="S66" s="19" t="str">
        <f t="shared" si="3"/>
        <v>Normal</v>
      </c>
      <c r="T66" s="26"/>
      <c r="AH66" t="str">
        <f t="shared" ref="AH66:AH129" si="5">LEFT(D66,3)</f>
        <v>Mic</v>
      </c>
    </row>
    <row r="67" spans="1:34" ht="15" thickBot="1">
      <c r="A67" s="22" t="s">
        <v>188</v>
      </c>
      <c r="B67" s="8">
        <v>45481</v>
      </c>
      <c r="C67" s="7" t="s">
        <v>96</v>
      </c>
      <c r="D67" s="7" t="s">
        <v>97</v>
      </c>
      <c r="E67" s="7" t="s">
        <v>117</v>
      </c>
      <c r="F67" s="7" t="s">
        <v>118</v>
      </c>
      <c r="G67" s="7" t="s">
        <v>19</v>
      </c>
      <c r="H67" s="2">
        <v>5</v>
      </c>
      <c r="I67" s="2">
        <v>89.99</v>
      </c>
      <c r="J67" s="7" t="s">
        <v>57</v>
      </c>
      <c r="K67" s="7" t="s">
        <v>40</v>
      </c>
      <c r="L67" s="7" t="s">
        <v>27</v>
      </c>
      <c r="M67" s="8">
        <v>45161</v>
      </c>
      <c r="N67" s="5">
        <f t="shared" ref="N67:N130" si="6">H67*I67</f>
        <v>449.95</v>
      </c>
      <c r="O67" s="7" t="str">
        <f>TEXT(Data!$B67,"mmm")</f>
        <v>Jul</v>
      </c>
      <c r="P67" s="9">
        <f>YEAR(Data!$B67)</f>
        <v>2024</v>
      </c>
      <c r="Q67" s="10">
        <f t="shared" ca="1" si="4"/>
        <v>46122.659248495373</v>
      </c>
      <c r="R67" s="20"/>
      <c r="S67" s="36" t="str">
        <f t="shared" ref="S67:S130" si="7">IF(N67&gt;2000,"High Value","Normal")</f>
        <v>Normal</v>
      </c>
      <c r="T67" s="27"/>
      <c r="AH67" t="str">
        <f t="shared" si="5"/>
        <v>Bar</v>
      </c>
    </row>
    <row r="68" spans="1:34" ht="15" thickBot="1">
      <c r="A68" s="19" t="s">
        <v>189</v>
      </c>
      <c r="B68" s="4">
        <v>45482</v>
      </c>
      <c r="C68" s="3" t="s">
        <v>171</v>
      </c>
      <c r="D68" s="3" t="s">
        <v>172</v>
      </c>
      <c r="E68" s="3" t="s">
        <v>31</v>
      </c>
      <c r="F68" s="3" t="s">
        <v>32</v>
      </c>
      <c r="G68" s="3" t="s">
        <v>33</v>
      </c>
      <c r="H68" s="5">
        <v>4</v>
      </c>
      <c r="I68" s="5">
        <v>59.99</v>
      </c>
      <c r="J68" s="3" t="s">
        <v>20</v>
      </c>
      <c r="K68" s="3" t="s">
        <v>35</v>
      </c>
      <c r="L68" s="3" t="s">
        <v>36</v>
      </c>
      <c r="M68" s="4">
        <v>44509</v>
      </c>
      <c r="N68" s="5">
        <f t="shared" si="6"/>
        <v>239.96</v>
      </c>
      <c r="O68" s="3" t="str">
        <f>TEXT(Data!$B68,"mmm")</f>
        <v>Jul</v>
      </c>
      <c r="P68" s="11">
        <f>YEAR(Data!$B68)</f>
        <v>2024</v>
      </c>
      <c r="Q68" s="12">
        <f t="shared" ca="1" si="4"/>
        <v>46122.659248495373</v>
      </c>
      <c r="R68" s="21"/>
      <c r="S68" s="19" t="str">
        <f t="shared" si="7"/>
        <v>Normal</v>
      </c>
      <c r="T68" s="26"/>
      <c r="AH68" t="str">
        <f t="shared" si="5"/>
        <v>Ray</v>
      </c>
    </row>
    <row r="69" spans="1:34" ht="15" thickBot="1">
      <c r="A69" s="22" t="s">
        <v>190</v>
      </c>
      <c r="B69" s="8">
        <v>45484</v>
      </c>
      <c r="C69" s="7" t="s">
        <v>24</v>
      </c>
      <c r="D69" s="7" t="s">
        <v>25</v>
      </c>
      <c r="E69" s="7" t="s">
        <v>52</v>
      </c>
      <c r="F69" s="7" t="s">
        <v>53</v>
      </c>
      <c r="G69" s="7" t="s">
        <v>19</v>
      </c>
      <c r="H69" s="2">
        <v>1</v>
      </c>
      <c r="I69" s="2">
        <v>149.99</v>
      </c>
      <c r="J69" s="7" t="s">
        <v>20</v>
      </c>
      <c r="K69" s="7" t="s">
        <v>21</v>
      </c>
      <c r="L69" s="7" t="s">
        <v>36</v>
      </c>
      <c r="M69" s="8">
        <v>44909</v>
      </c>
      <c r="N69" s="5">
        <f t="shared" si="6"/>
        <v>149.99</v>
      </c>
      <c r="O69" s="7" t="str">
        <f>TEXT(Data!$B69,"mmm")</f>
        <v>Jul</v>
      </c>
      <c r="P69" s="9">
        <f>YEAR(Data!$B69)</f>
        <v>2024</v>
      </c>
      <c r="Q69" s="10">
        <f t="shared" ca="1" si="4"/>
        <v>46122.659248495373</v>
      </c>
      <c r="R69" s="20"/>
      <c r="S69" s="36" t="str">
        <f t="shared" si="7"/>
        <v>Normal</v>
      </c>
      <c r="T69" s="27"/>
      <c r="AH69" t="str">
        <f t="shared" si="5"/>
        <v>Jos</v>
      </c>
    </row>
    <row r="70" spans="1:34" ht="15" thickBot="1">
      <c r="A70" s="19" t="s">
        <v>191</v>
      </c>
      <c r="B70" s="4">
        <v>45484</v>
      </c>
      <c r="C70" s="3" t="s">
        <v>192</v>
      </c>
      <c r="D70" s="3" t="s">
        <v>193</v>
      </c>
      <c r="E70" s="3" t="s">
        <v>105</v>
      </c>
      <c r="F70" s="3" t="s">
        <v>106</v>
      </c>
      <c r="G70" s="3" t="s">
        <v>46</v>
      </c>
      <c r="H70" s="5">
        <v>1</v>
      </c>
      <c r="I70" s="5">
        <v>299.99</v>
      </c>
      <c r="J70" s="3" t="s">
        <v>26</v>
      </c>
      <c r="K70" s="3" t="s">
        <v>40</v>
      </c>
      <c r="L70" s="3" t="s">
        <v>27</v>
      </c>
      <c r="M70" s="4">
        <v>44891</v>
      </c>
      <c r="N70" s="5">
        <f t="shared" si="6"/>
        <v>299.99</v>
      </c>
      <c r="O70" s="3" t="str">
        <f>TEXT(Data!$B70,"mmm")</f>
        <v>Jul</v>
      </c>
      <c r="P70" s="11">
        <f>YEAR(Data!$B70)</f>
        <v>2024</v>
      </c>
      <c r="Q70" s="12">
        <f t="shared" ca="1" si="4"/>
        <v>46122.659248495373</v>
      </c>
      <c r="R70" s="21"/>
      <c r="S70" s="19" t="str">
        <f t="shared" si="7"/>
        <v>Normal</v>
      </c>
      <c r="T70" s="26"/>
      <c r="AH70" t="str">
        <f t="shared" si="5"/>
        <v>Fra</v>
      </c>
    </row>
    <row r="71" spans="1:34" ht="15" thickBot="1">
      <c r="A71" s="22" t="s">
        <v>194</v>
      </c>
      <c r="B71" s="8">
        <v>45487</v>
      </c>
      <c r="C71" s="7" t="s">
        <v>192</v>
      </c>
      <c r="D71" s="7" t="s">
        <v>193</v>
      </c>
      <c r="E71" s="7" t="s">
        <v>126</v>
      </c>
      <c r="F71" s="7" t="s">
        <v>127</v>
      </c>
      <c r="G71" s="7" t="s">
        <v>46</v>
      </c>
      <c r="H71" s="2">
        <v>2</v>
      </c>
      <c r="I71" s="2">
        <v>199.99</v>
      </c>
      <c r="J71" s="7" t="s">
        <v>20</v>
      </c>
      <c r="K71" s="7" t="s">
        <v>40</v>
      </c>
      <c r="L71" s="7" t="s">
        <v>22</v>
      </c>
      <c r="M71" s="8">
        <v>44541</v>
      </c>
      <c r="N71" s="5">
        <f t="shared" si="6"/>
        <v>399.98</v>
      </c>
      <c r="O71" s="7" t="str">
        <f>TEXT(Data!$B71,"mmm")</f>
        <v>Jul</v>
      </c>
      <c r="P71" s="9">
        <f>YEAR(Data!$B71)</f>
        <v>2024</v>
      </c>
      <c r="Q71" s="10">
        <f t="shared" ca="1" si="4"/>
        <v>46122.659248495373</v>
      </c>
      <c r="R71" s="20"/>
      <c r="S71" s="36" t="str">
        <f t="shared" si="7"/>
        <v>Normal</v>
      </c>
      <c r="T71" s="27"/>
      <c r="AH71" t="str">
        <f t="shared" si="5"/>
        <v>Fra</v>
      </c>
    </row>
    <row r="72" spans="1:34" ht="15" thickBot="1">
      <c r="A72" s="19" t="s">
        <v>195</v>
      </c>
      <c r="B72" s="4">
        <v>45490</v>
      </c>
      <c r="C72" s="3" t="s">
        <v>196</v>
      </c>
      <c r="D72" s="3" t="s">
        <v>197</v>
      </c>
      <c r="E72" s="3" t="s">
        <v>31</v>
      </c>
      <c r="F72" s="3" t="s">
        <v>32</v>
      </c>
      <c r="G72" s="3" t="s">
        <v>33</v>
      </c>
      <c r="H72" s="5">
        <v>3</v>
      </c>
      <c r="I72" s="5">
        <v>59.99</v>
      </c>
      <c r="J72" s="3" t="s">
        <v>26</v>
      </c>
      <c r="K72" s="3" t="s">
        <v>50</v>
      </c>
      <c r="L72" s="3" t="s">
        <v>22</v>
      </c>
      <c r="M72" s="4">
        <v>45130</v>
      </c>
      <c r="N72" s="5">
        <f t="shared" si="6"/>
        <v>179.97</v>
      </c>
      <c r="O72" s="3" t="str">
        <f>TEXT(Data!$B72,"mmm")</f>
        <v>Jul</v>
      </c>
      <c r="P72" s="11">
        <f>YEAR(Data!$B72)</f>
        <v>2024</v>
      </c>
      <c r="Q72" s="12">
        <f t="shared" ca="1" si="4"/>
        <v>46122.659248495373</v>
      </c>
      <c r="R72" s="21"/>
      <c r="S72" s="19" t="str">
        <f t="shared" si="7"/>
        <v>Normal</v>
      </c>
      <c r="T72" s="26"/>
      <c r="AH72" t="str">
        <f t="shared" si="5"/>
        <v>Ger</v>
      </c>
    </row>
    <row r="73" spans="1:34" ht="15" thickBot="1">
      <c r="A73" s="22" t="s">
        <v>198</v>
      </c>
      <c r="B73" s="8">
        <v>45490</v>
      </c>
      <c r="C73" s="7" t="s">
        <v>72</v>
      </c>
      <c r="D73" s="7" t="s">
        <v>73</v>
      </c>
      <c r="E73" s="7" t="s">
        <v>44</v>
      </c>
      <c r="F73" s="7" t="s">
        <v>45</v>
      </c>
      <c r="G73" s="7" t="s">
        <v>46</v>
      </c>
      <c r="H73" s="2">
        <v>3</v>
      </c>
      <c r="I73" s="2">
        <v>149.99</v>
      </c>
      <c r="J73" s="7" t="s">
        <v>20</v>
      </c>
      <c r="K73" s="7" t="s">
        <v>21</v>
      </c>
      <c r="L73" s="7" t="s">
        <v>27</v>
      </c>
      <c r="M73" s="8">
        <v>45199</v>
      </c>
      <c r="N73" s="5">
        <f t="shared" si="6"/>
        <v>449.97</v>
      </c>
      <c r="O73" s="7" t="str">
        <f>TEXT(Data!$B73,"mmm")</f>
        <v>Jul</v>
      </c>
      <c r="P73" s="9">
        <f>YEAR(Data!$B73)</f>
        <v>2024</v>
      </c>
      <c r="Q73" s="10">
        <f t="shared" ca="1" si="4"/>
        <v>46122.659248495373</v>
      </c>
      <c r="R73" s="20"/>
      <c r="S73" s="36" t="str">
        <f t="shared" si="7"/>
        <v>Normal</v>
      </c>
      <c r="T73" s="27"/>
      <c r="AH73" t="str">
        <f t="shared" si="5"/>
        <v>Pet</v>
      </c>
    </row>
    <row r="74" spans="1:34" ht="15" thickBot="1">
      <c r="A74" s="19" t="s">
        <v>199</v>
      </c>
      <c r="B74" s="4">
        <v>45491</v>
      </c>
      <c r="C74" s="3" t="s">
        <v>65</v>
      </c>
      <c r="D74" s="3" t="s">
        <v>66</v>
      </c>
      <c r="E74" s="3" t="s">
        <v>126</v>
      </c>
      <c r="F74" s="3" t="s">
        <v>127</v>
      </c>
      <c r="G74" s="3" t="s">
        <v>46</v>
      </c>
      <c r="H74" s="5">
        <v>3</v>
      </c>
      <c r="I74" s="5">
        <v>199.99</v>
      </c>
      <c r="J74" s="3" t="s">
        <v>20</v>
      </c>
      <c r="K74" s="3" t="s">
        <v>40</v>
      </c>
      <c r="L74" s="3" t="s">
        <v>27</v>
      </c>
      <c r="M74" s="4">
        <v>45254</v>
      </c>
      <c r="N74" s="5">
        <f t="shared" si="6"/>
        <v>599.97</v>
      </c>
      <c r="O74" s="3" t="str">
        <f>TEXT(Data!$B74,"mmm")</f>
        <v>Jul</v>
      </c>
      <c r="P74" s="11">
        <f>YEAR(Data!$B74)</f>
        <v>2024</v>
      </c>
      <c r="Q74" s="12">
        <f t="shared" ca="1" si="4"/>
        <v>46122.659248495373</v>
      </c>
      <c r="R74" s="21"/>
      <c r="S74" s="19" t="str">
        <f t="shared" si="7"/>
        <v>Normal</v>
      </c>
      <c r="T74" s="26"/>
      <c r="AH74" t="str">
        <f t="shared" si="5"/>
        <v>Kar</v>
      </c>
    </row>
    <row r="75" spans="1:34" ht="15" thickBot="1">
      <c r="A75" s="22" t="s">
        <v>200</v>
      </c>
      <c r="B75" s="8">
        <v>45496</v>
      </c>
      <c r="C75" s="7" t="s">
        <v>150</v>
      </c>
      <c r="D75" s="7" t="s">
        <v>151</v>
      </c>
      <c r="E75" s="7" t="s">
        <v>61</v>
      </c>
      <c r="F75" s="7" t="s">
        <v>62</v>
      </c>
      <c r="G75" s="7" t="s">
        <v>19</v>
      </c>
      <c r="H75" s="2">
        <v>1</v>
      </c>
      <c r="I75" s="2">
        <v>899.99</v>
      </c>
      <c r="J75" s="7" t="s">
        <v>20</v>
      </c>
      <c r="K75" s="7" t="s">
        <v>21</v>
      </c>
      <c r="L75" s="7" t="s">
        <v>36</v>
      </c>
      <c r="M75" s="8">
        <v>45179</v>
      </c>
      <c r="N75" s="5">
        <f t="shared" si="6"/>
        <v>899.99</v>
      </c>
      <c r="O75" s="7" t="str">
        <f>TEXT(Data!$B75,"mmm")</f>
        <v>Jul</v>
      </c>
      <c r="P75" s="9">
        <f>YEAR(Data!$B75)</f>
        <v>2024</v>
      </c>
      <c r="Q75" s="10">
        <f t="shared" ca="1" si="4"/>
        <v>46122.659248495373</v>
      </c>
      <c r="R75" s="20"/>
      <c r="S75" s="36" t="str">
        <f t="shared" si="7"/>
        <v>Normal</v>
      </c>
      <c r="T75" s="27"/>
      <c r="AH75" t="str">
        <f t="shared" si="5"/>
        <v>Sha</v>
      </c>
    </row>
    <row r="76" spans="1:34" ht="15" thickBot="1">
      <c r="A76" s="19" t="s">
        <v>201</v>
      </c>
      <c r="B76" s="4">
        <v>45497</v>
      </c>
      <c r="C76" s="3" t="s">
        <v>24</v>
      </c>
      <c r="D76" s="3" t="s">
        <v>25</v>
      </c>
      <c r="E76" s="3" t="s">
        <v>61</v>
      </c>
      <c r="F76" s="3" t="s">
        <v>62</v>
      </c>
      <c r="G76" s="3" t="s">
        <v>19</v>
      </c>
      <c r="H76" s="5">
        <v>5</v>
      </c>
      <c r="I76" s="5">
        <v>899.99</v>
      </c>
      <c r="J76" s="3" t="s">
        <v>57</v>
      </c>
      <c r="K76" s="3" t="s">
        <v>35</v>
      </c>
      <c r="L76" s="3" t="s">
        <v>36</v>
      </c>
      <c r="M76" s="4">
        <v>44899</v>
      </c>
      <c r="N76" s="5">
        <f t="shared" si="6"/>
        <v>4499.95</v>
      </c>
      <c r="O76" s="3" t="str">
        <f>TEXT(Data!$B76,"mmm")</f>
        <v>Jul</v>
      </c>
      <c r="P76" s="11">
        <f>YEAR(Data!$B76)</f>
        <v>2024</v>
      </c>
      <c r="Q76" s="12">
        <f t="shared" ca="1" si="4"/>
        <v>46122.659248495373</v>
      </c>
      <c r="R76" s="21"/>
      <c r="S76" s="19" t="str">
        <f t="shared" si="7"/>
        <v>High Value</v>
      </c>
      <c r="T76" s="26"/>
      <c r="AH76" t="str">
        <f t="shared" si="5"/>
        <v>Jos</v>
      </c>
    </row>
    <row r="77" spans="1:34" ht="15" thickBot="1">
      <c r="A77" s="22" t="s">
        <v>202</v>
      </c>
      <c r="B77" s="8">
        <v>45498</v>
      </c>
      <c r="C77" s="7" t="s">
        <v>182</v>
      </c>
      <c r="D77" s="7" t="s">
        <v>183</v>
      </c>
      <c r="E77" s="7" t="s">
        <v>31</v>
      </c>
      <c r="F77" s="7" t="s">
        <v>32</v>
      </c>
      <c r="G77" s="7" t="s">
        <v>33</v>
      </c>
      <c r="H77" s="2">
        <v>2</v>
      </c>
      <c r="I77" s="2">
        <v>59.99</v>
      </c>
      <c r="J77" s="7" t="s">
        <v>20</v>
      </c>
      <c r="K77" s="7" t="s">
        <v>40</v>
      </c>
      <c r="L77" s="7" t="s">
        <v>36</v>
      </c>
      <c r="M77" s="8">
        <v>45152</v>
      </c>
      <c r="N77" s="5">
        <f t="shared" si="6"/>
        <v>119.98</v>
      </c>
      <c r="O77" s="7" t="str">
        <f>TEXT(Data!$B77,"mmm")</f>
        <v>Jul</v>
      </c>
      <c r="P77" s="9">
        <f>YEAR(Data!$B77)</f>
        <v>2024</v>
      </c>
      <c r="Q77" s="10">
        <f t="shared" ca="1" si="4"/>
        <v>46122.659248495373</v>
      </c>
      <c r="R77" s="20"/>
      <c r="S77" s="36" t="str">
        <f t="shared" si="7"/>
        <v>Normal</v>
      </c>
      <c r="T77" s="27"/>
      <c r="AH77" t="str">
        <f t="shared" si="5"/>
        <v>Dav</v>
      </c>
    </row>
    <row r="78" spans="1:34" ht="15" thickBot="1">
      <c r="A78" s="19" t="s">
        <v>203</v>
      </c>
      <c r="B78" s="4">
        <v>45498</v>
      </c>
      <c r="C78" s="3" t="s">
        <v>196</v>
      </c>
      <c r="D78" s="3" t="s">
        <v>197</v>
      </c>
      <c r="E78" s="3" t="s">
        <v>17</v>
      </c>
      <c r="F78" s="3" t="s">
        <v>18</v>
      </c>
      <c r="G78" s="3" t="s">
        <v>19</v>
      </c>
      <c r="H78" s="5">
        <v>4</v>
      </c>
      <c r="I78" s="5">
        <v>249.99</v>
      </c>
      <c r="J78" s="3" t="s">
        <v>57</v>
      </c>
      <c r="K78" s="3" t="s">
        <v>21</v>
      </c>
      <c r="L78" s="3" t="s">
        <v>36</v>
      </c>
      <c r="M78" s="4">
        <v>45127</v>
      </c>
      <c r="N78" s="5">
        <f t="shared" si="6"/>
        <v>999.96</v>
      </c>
      <c r="O78" s="3" t="str">
        <f>TEXT(Data!$B78,"mmm")</f>
        <v>Jul</v>
      </c>
      <c r="P78" s="11">
        <f>YEAR(Data!$B78)</f>
        <v>2024</v>
      </c>
      <c r="Q78" s="12">
        <f t="shared" ca="1" si="4"/>
        <v>46122.659248495373</v>
      </c>
      <c r="R78" s="21"/>
      <c r="S78" s="19" t="str">
        <f t="shared" si="7"/>
        <v>Normal</v>
      </c>
      <c r="T78" s="26"/>
      <c r="AH78" t="str">
        <f t="shared" si="5"/>
        <v>Ger</v>
      </c>
    </row>
    <row r="79" spans="1:34" ht="15" thickBot="1">
      <c r="A79" s="22" t="s">
        <v>204</v>
      </c>
      <c r="B79" s="8">
        <v>45500</v>
      </c>
      <c r="C79" s="7" t="s">
        <v>96</v>
      </c>
      <c r="D79" s="7" t="s">
        <v>97</v>
      </c>
      <c r="E79" s="7" t="s">
        <v>17</v>
      </c>
      <c r="F79" s="7" t="s">
        <v>18</v>
      </c>
      <c r="G79" s="7" t="s">
        <v>19</v>
      </c>
      <c r="H79" s="2">
        <v>2</v>
      </c>
      <c r="I79" s="2">
        <v>249.99</v>
      </c>
      <c r="J79" s="7" t="s">
        <v>20</v>
      </c>
      <c r="K79" s="7" t="s">
        <v>40</v>
      </c>
      <c r="L79" s="7" t="s">
        <v>27</v>
      </c>
      <c r="M79" s="8">
        <v>45164</v>
      </c>
      <c r="N79" s="5">
        <f t="shared" si="6"/>
        <v>499.98</v>
      </c>
      <c r="O79" s="7" t="str">
        <f>TEXT(Data!$B79,"mmm")</f>
        <v>Jul</v>
      </c>
      <c r="P79" s="9">
        <f>YEAR(Data!$B79)</f>
        <v>2024</v>
      </c>
      <c r="Q79" s="10">
        <f t="shared" ca="1" si="4"/>
        <v>46122.659248495373</v>
      </c>
      <c r="R79" s="20"/>
      <c r="S79" s="36" t="str">
        <f t="shared" si="7"/>
        <v>Normal</v>
      </c>
      <c r="T79" s="27"/>
      <c r="AH79" t="str">
        <f t="shared" si="5"/>
        <v>Bar</v>
      </c>
    </row>
    <row r="80" spans="1:34" ht="15" thickBot="1">
      <c r="A80" s="19" t="s">
        <v>205</v>
      </c>
      <c r="B80" s="4">
        <v>45500</v>
      </c>
      <c r="C80" s="3" t="s">
        <v>147</v>
      </c>
      <c r="D80" s="3" t="s">
        <v>148</v>
      </c>
      <c r="E80" s="3" t="s">
        <v>105</v>
      </c>
      <c r="F80" s="3" t="s">
        <v>106</v>
      </c>
      <c r="G80" s="3" t="s">
        <v>46</v>
      </c>
      <c r="H80" s="5">
        <v>1</v>
      </c>
      <c r="I80" s="5">
        <v>299.99</v>
      </c>
      <c r="J80" s="3" t="s">
        <v>20</v>
      </c>
      <c r="K80" s="3" t="s">
        <v>35</v>
      </c>
      <c r="L80" s="3" t="s">
        <v>22</v>
      </c>
      <c r="M80" s="4">
        <v>44982</v>
      </c>
      <c r="N80" s="5">
        <f t="shared" si="6"/>
        <v>299.99</v>
      </c>
      <c r="O80" s="3" t="str">
        <f>TEXT(Data!$B80,"mmm")</f>
        <v>Jul</v>
      </c>
      <c r="P80" s="11">
        <f>YEAR(Data!$B80)</f>
        <v>2024</v>
      </c>
      <c r="Q80" s="12">
        <f t="shared" ca="1" si="4"/>
        <v>46122.659248495373</v>
      </c>
      <c r="R80" s="21"/>
      <c r="S80" s="19" t="str">
        <f t="shared" si="7"/>
        <v>Normal</v>
      </c>
      <c r="T80" s="26"/>
      <c r="AH80" t="str">
        <f t="shared" si="5"/>
        <v>Dan</v>
      </c>
    </row>
    <row r="81" spans="1:34" ht="15" thickBot="1">
      <c r="A81" s="22" t="s">
        <v>206</v>
      </c>
      <c r="B81" s="8">
        <v>45501</v>
      </c>
      <c r="C81" s="7" t="s">
        <v>86</v>
      </c>
      <c r="D81" s="7" t="s">
        <v>87</v>
      </c>
      <c r="E81" s="7" t="s">
        <v>117</v>
      </c>
      <c r="F81" s="7" t="s">
        <v>118</v>
      </c>
      <c r="G81" s="7" t="s">
        <v>19</v>
      </c>
      <c r="H81" s="2">
        <v>2</v>
      </c>
      <c r="I81" s="2">
        <v>89.99</v>
      </c>
      <c r="J81" s="7" t="s">
        <v>34</v>
      </c>
      <c r="K81" s="7" t="s">
        <v>35</v>
      </c>
      <c r="L81" s="7" t="s">
        <v>22</v>
      </c>
      <c r="M81" s="8">
        <v>44976</v>
      </c>
      <c r="N81" s="5">
        <f t="shared" si="6"/>
        <v>179.98</v>
      </c>
      <c r="O81" s="7" t="str">
        <f>TEXT(Data!$B81,"mmm")</f>
        <v>Jul</v>
      </c>
      <c r="P81" s="9">
        <f>YEAR(Data!$B81)</f>
        <v>2024</v>
      </c>
      <c r="Q81" s="10">
        <f t="shared" ca="1" si="4"/>
        <v>46122.659248495373</v>
      </c>
      <c r="R81" s="20"/>
      <c r="S81" s="36" t="str">
        <f t="shared" si="7"/>
        <v>Normal</v>
      </c>
      <c r="T81" s="27"/>
      <c r="AH81" t="str">
        <f t="shared" si="5"/>
        <v>Mar</v>
      </c>
    </row>
    <row r="82" spans="1:34" ht="15" thickBot="1">
      <c r="A82" s="19" t="s">
        <v>207</v>
      </c>
      <c r="B82" s="4">
        <v>45501</v>
      </c>
      <c r="C82" s="3" t="s">
        <v>147</v>
      </c>
      <c r="D82" s="3" t="s">
        <v>148</v>
      </c>
      <c r="E82" s="3" t="s">
        <v>105</v>
      </c>
      <c r="F82" s="3" t="s">
        <v>106</v>
      </c>
      <c r="G82" s="3" t="s">
        <v>46</v>
      </c>
      <c r="H82" s="5">
        <v>3</v>
      </c>
      <c r="I82" s="5">
        <v>299.99</v>
      </c>
      <c r="J82" s="3" t="s">
        <v>20</v>
      </c>
      <c r="K82" s="3" t="s">
        <v>21</v>
      </c>
      <c r="L82" s="3" t="s">
        <v>22</v>
      </c>
      <c r="M82" s="4">
        <v>44732</v>
      </c>
      <c r="N82" s="5">
        <f t="shared" si="6"/>
        <v>899.97</v>
      </c>
      <c r="O82" s="3" t="str">
        <f>TEXT(Data!$B82,"mmm")</f>
        <v>Jul</v>
      </c>
      <c r="P82" s="11">
        <f>YEAR(Data!$B82)</f>
        <v>2024</v>
      </c>
      <c r="Q82" s="12">
        <f t="shared" ca="1" si="4"/>
        <v>46122.659248495373</v>
      </c>
      <c r="R82" s="21"/>
      <c r="S82" s="19" t="str">
        <f t="shared" si="7"/>
        <v>Normal</v>
      </c>
      <c r="T82" s="26"/>
      <c r="AH82" t="str">
        <f t="shared" si="5"/>
        <v>Dan</v>
      </c>
    </row>
    <row r="83" spans="1:34" ht="15" thickBot="1">
      <c r="A83" s="22" t="s">
        <v>208</v>
      </c>
      <c r="B83" s="8">
        <v>45503</v>
      </c>
      <c r="C83" s="7" t="s">
        <v>86</v>
      </c>
      <c r="D83" s="7" t="s">
        <v>87</v>
      </c>
      <c r="E83" s="7" t="s">
        <v>80</v>
      </c>
      <c r="F83" s="7" t="s">
        <v>81</v>
      </c>
      <c r="G83" s="7" t="s">
        <v>19</v>
      </c>
      <c r="H83" s="2">
        <v>2</v>
      </c>
      <c r="I83" s="2">
        <v>699.99</v>
      </c>
      <c r="J83" s="7" t="s">
        <v>26</v>
      </c>
      <c r="K83" s="7" t="s">
        <v>40</v>
      </c>
      <c r="L83" s="7" t="s">
        <v>27</v>
      </c>
      <c r="M83" s="8">
        <v>44999</v>
      </c>
      <c r="N83" s="5">
        <f t="shared" si="6"/>
        <v>1399.98</v>
      </c>
      <c r="O83" s="7" t="str">
        <f>TEXT(Data!$B83,"mmm")</f>
        <v>Jul</v>
      </c>
      <c r="P83" s="9">
        <f>YEAR(Data!$B83)</f>
        <v>2024</v>
      </c>
      <c r="Q83" s="10">
        <f t="shared" ca="1" si="4"/>
        <v>46122.659248495373</v>
      </c>
      <c r="R83" s="20"/>
      <c r="S83" s="36" t="str">
        <f t="shared" si="7"/>
        <v>Normal</v>
      </c>
      <c r="T83" s="27"/>
      <c r="AH83" t="str">
        <f t="shared" si="5"/>
        <v>Mar</v>
      </c>
    </row>
    <row r="84" spans="1:34" ht="15" thickBot="1">
      <c r="A84" s="19" t="s">
        <v>209</v>
      </c>
      <c r="B84" s="4">
        <v>45504</v>
      </c>
      <c r="C84" s="3" t="s">
        <v>120</v>
      </c>
      <c r="D84" s="3" t="s">
        <v>121</v>
      </c>
      <c r="E84" s="3" t="s">
        <v>61</v>
      </c>
      <c r="F84" s="3" t="s">
        <v>62</v>
      </c>
      <c r="G84" s="3" t="s">
        <v>19</v>
      </c>
      <c r="H84" s="5">
        <v>4</v>
      </c>
      <c r="I84" s="5">
        <v>899.99</v>
      </c>
      <c r="J84" s="3" t="s">
        <v>57</v>
      </c>
      <c r="K84" s="3" t="s">
        <v>35</v>
      </c>
      <c r="L84" s="3" t="s">
        <v>36</v>
      </c>
      <c r="M84" s="4">
        <v>44523</v>
      </c>
      <c r="N84" s="5">
        <f t="shared" si="6"/>
        <v>3599.96</v>
      </c>
      <c r="O84" s="3" t="str">
        <f>TEXT(Data!$B84,"mmm")</f>
        <v>Jul</v>
      </c>
      <c r="P84" s="11">
        <f>YEAR(Data!$B84)</f>
        <v>2024</v>
      </c>
      <c r="Q84" s="12">
        <f t="shared" ca="1" si="4"/>
        <v>46122.659248495373</v>
      </c>
      <c r="R84" s="21"/>
      <c r="S84" s="19" t="str">
        <f t="shared" si="7"/>
        <v>High Value</v>
      </c>
      <c r="T84" s="26"/>
      <c r="AH84" t="str">
        <f t="shared" si="5"/>
        <v>Hel</v>
      </c>
    </row>
    <row r="85" spans="1:34" ht="15" thickBot="1">
      <c r="A85" s="22" t="s">
        <v>210</v>
      </c>
      <c r="B85" s="8">
        <v>45509</v>
      </c>
      <c r="C85" s="7" t="s">
        <v>211</v>
      </c>
      <c r="D85" s="7" t="s">
        <v>212</v>
      </c>
      <c r="E85" s="7" t="s">
        <v>44</v>
      </c>
      <c r="F85" s="7" t="s">
        <v>45</v>
      </c>
      <c r="G85" s="7" t="s">
        <v>46</v>
      </c>
      <c r="H85" s="2">
        <v>2</v>
      </c>
      <c r="I85" s="2">
        <v>149.99</v>
      </c>
      <c r="J85" s="7" t="s">
        <v>26</v>
      </c>
      <c r="K85" s="7" t="s">
        <v>50</v>
      </c>
      <c r="L85" s="7" t="s">
        <v>22</v>
      </c>
      <c r="M85" s="8">
        <v>44542</v>
      </c>
      <c r="N85" s="5">
        <f t="shared" si="6"/>
        <v>299.98</v>
      </c>
      <c r="O85" s="7" t="str">
        <f>TEXT(Data!$B85,"mmm")</f>
        <v>Aug</v>
      </c>
      <c r="P85" s="9">
        <f>YEAR(Data!$B85)</f>
        <v>2024</v>
      </c>
      <c r="Q85" s="10">
        <f t="shared" ca="1" si="4"/>
        <v>46122.659248495373</v>
      </c>
      <c r="R85" s="20"/>
      <c r="S85" s="36" t="str">
        <f t="shared" si="7"/>
        <v>Normal</v>
      </c>
      <c r="T85" s="27"/>
      <c r="AH85" t="str">
        <f t="shared" si="5"/>
        <v>Eli</v>
      </c>
    </row>
    <row r="86" spans="1:34" ht="15" thickBot="1">
      <c r="A86" s="19" t="s">
        <v>213</v>
      </c>
      <c r="B86" s="4">
        <v>45510</v>
      </c>
      <c r="C86" s="3" t="s">
        <v>102</v>
      </c>
      <c r="D86" s="3" t="s">
        <v>103</v>
      </c>
      <c r="E86" s="3" t="s">
        <v>44</v>
      </c>
      <c r="F86" s="3" t="s">
        <v>45</v>
      </c>
      <c r="G86" s="3" t="s">
        <v>46</v>
      </c>
      <c r="H86" s="5">
        <v>2</v>
      </c>
      <c r="I86" s="5">
        <v>149.99</v>
      </c>
      <c r="J86" s="3" t="s">
        <v>57</v>
      </c>
      <c r="K86" s="3" t="s">
        <v>63</v>
      </c>
      <c r="L86" s="3" t="s">
        <v>36</v>
      </c>
      <c r="M86" s="4">
        <v>44667</v>
      </c>
      <c r="N86" s="5">
        <f t="shared" si="6"/>
        <v>299.98</v>
      </c>
      <c r="O86" s="3" t="str">
        <f>TEXT(Data!$B86,"mmm")</f>
        <v>Aug</v>
      </c>
      <c r="P86" s="11">
        <f>YEAR(Data!$B86)</f>
        <v>2024</v>
      </c>
      <c r="Q86" s="12">
        <f t="shared" ca="1" si="4"/>
        <v>46122.659248495373</v>
      </c>
      <c r="R86" s="21"/>
      <c r="S86" s="19" t="str">
        <f t="shared" si="7"/>
        <v>Normal</v>
      </c>
      <c r="T86" s="26"/>
      <c r="AH86" t="str">
        <f t="shared" si="5"/>
        <v>Cyn</v>
      </c>
    </row>
    <row r="87" spans="1:34" ht="15" thickBot="1">
      <c r="A87" s="22" t="s">
        <v>214</v>
      </c>
      <c r="B87" s="8">
        <v>45513</v>
      </c>
      <c r="C87" s="7" t="s">
        <v>89</v>
      </c>
      <c r="D87" s="7" t="s">
        <v>90</v>
      </c>
      <c r="E87" s="7" t="s">
        <v>117</v>
      </c>
      <c r="F87" s="7" t="s">
        <v>118</v>
      </c>
      <c r="G87" s="7" t="s">
        <v>19</v>
      </c>
      <c r="H87" s="2">
        <v>1</v>
      </c>
      <c r="I87" s="2">
        <v>89.99</v>
      </c>
      <c r="J87" s="7" t="s">
        <v>26</v>
      </c>
      <c r="K87" s="7" t="s">
        <v>40</v>
      </c>
      <c r="L87" s="7" t="s">
        <v>36</v>
      </c>
      <c r="M87" s="8">
        <v>45393</v>
      </c>
      <c r="N87" s="5">
        <f t="shared" si="6"/>
        <v>89.99</v>
      </c>
      <c r="O87" s="7" t="str">
        <f>TEXT(Data!$B87,"mmm")</f>
        <v>Aug</v>
      </c>
      <c r="P87" s="9">
        <f>YEAR(Data!$B87)</f>
        <v>2024</v>
      </c>
      <c r="Q87" s="10">
        <f t="shared" ca="1" si="4"/>
        <v>46122.659248495373</v>
      </c>
      <c r="R87" s="20"/>
      <c r="S87" s="36" t="str">
        <f t="shared" si="7"/>
        <v>Normal</v>
      </c>
      <c r="T87" s="27"/>
      <c r="AH87" t="str">
        <f t="shared" si="5"/>
        <v>Mar</v>
      </c>
    </row>
    <row r="88" spans="1:34" ht="15" thickBot="1">
      <c r="A88" s="19" t="s">
        <v>215</v>
      </c>
      <c r="B88" s="4">
        <v>45515</v>
      </c>
      <c r="C88" s="3" t="s">
        <v>86</v>
      </c>
      <c r="D88" s="3" t="s">
        <v>87</v>
      </c>
      <c r="E88" s="3" t="s">
        <v>105</v>
      </c>
      <c r="F88" s="3" t="s">
        <v>106</v>
      </c>
      <c r="G88" s="3" t="s">
        <v>46</v>
      </c>
      <c r="H88" s="5">
        <v>5</v>
      </c>
      <c r="I88" s="5">
        <v>299.99</v>
      </c>
      <c r="J88" s="3" t="s">
        <v>26</v>
      </c>
      <c r="K88" s="3" t="s">
        <v>40</v>
      </c>
      <c r="L88" s="3" t="s">
        <v>22</v>
      </c>
      <c r="M88" s="4">
        <v>44965</v>
      </c>
      <c r="N88" s="5">
        <f t="shared" si="6"/>
        <v>1499.95</v>
      </c>
      <c r="O88" s="3" t="str">
        <f>TEXT(Data!$B88,"mmm")</f>
        <v>Aug</v>
      </c>
      <c r="P88" s="11">
        <f>YEAR(Data!$B88)</f>
        <v>2024</v>
      </c>
      <c r="Q88" s="12">
        <f t="shared" ca="1" si="4"/>
        <v>46122.659248495373</v>
      </c>
      <c r="R88" s="21"/>
      <c r="S88" s="19" t="str">
        <f t="shared" si="7"/>
        <v>Normal</v>
      </c>
      <c r="T88" s="26"/>
      <c r="AH88" t="str">
        <f t="shared" si="5"/>
        <v>Mar</v>
      </c>
    </row>
    <row r="89" spans="1:34" ht="15" thickBot="1">
      <c r="A89" s="22" t="s">
        <v>216</v>
      </c>
      <c r="B89" s="8">
        <v>45517</v>
      </c>
      <c r="C89" s="7" t="s">
        <v>182</v>
      </c>
      <c r="D89" s="7" t="s">
        <v>183</v>
      </c>
      <c r="E89" s="7" t="s">
        <v>52</v>
      </c>
      <c r="F89" s="7" t="s">
        <v>53</v>
      </c>
      <c r="G89" s="7" t="s">
        <v>19</v>
      </c>
      <c r="H89" s="2">
        <v>4</v>
      </c>
      <c r="I89" s="2">
        <v>149.99</v>
      </c>
      <c r="J89" s="7" t="s">
        <v>57</v>
      </c>
      <c r="K89" s="7" t="s">
        <v>35</v>
      </c>
      <c r="L89" s="7" t="s">
        <v>27</v>
      </c>
      <c r="M89" s="8">
        <v>44820</v>
      </c>
      <c r="N89" s="5">
        <f t="shared" si="6"/>
        <v>599.96</v>
      </c>
      <c r="O89" s="7" t="str">
        <f>TEXT(Data!$B89,"mmm")</f>
        <v>Aug</v>
      </c>
      <c r="P89" s="9">
        <f>YEAR(Data!$B89)</f>
        <v>2024</v>
      </c>
      <c r="Q89" s="10">
        <f t="shared" ca="1" si="4"/>
        <v>46122.659248495373</v>
      </c>
      <c r="R89" s="20"/>
      <c r="S89" s="36" t="str">
        <f t="shared" si="7"/>
        <v>Normal</v>
      </c>
      <c r="T89" s="27"/>
      <c r="AH89" t="str">
        <f t="shared" si="5"/>
        <v>Dav</v>
      </c>
    </row>
    <row r="90" spans="1:34" ht="15" thickBot="1">
      <c r="A90" s="19" t="s">
        <v>217</v>
      </c>
      <c r="B90" s="4">
        <v>45517</v>
      </c>
      <c r="C90" s="3" t="s">
        <v>185</v>
      </c>
      <c r="D90" s="3" t="s">
        <v>186</v>
      </c>
      <c r="E90" s="3" t="s">
        <v>17</v>
      </c>
      <c r="F90" s="3" t="s">
        <v>18</v>
      </c>
      <c r="G90" s="3" t="s">
        <v>19</v>
      </c>
      <c r="H90" s="5">
        <v>5</v>
      </c>
      <c r="I90" s="5">
        <v>249.99</v>
      </c>
      <c r="J90" s="3" t="s">
        <v>34</v>
      </c>
      <c r="K90" s="3" t="s">
        <v>63</v>
      </c>
      <c r="L90" s="3" t="s">
        <v>27</v>
      </c>
      <c r="M90" s="4">
        <v>44782</v>
      </c>
      <c r="N90" s="5">
        <f t="shared" si="6"/>
        <v>1249.95</v>
      </c>
      <c r="O90" s="3" t="str">
        <f>TEXT(Data!$B90,"mmm")</f>
        <v>Aug</v>
      </c>
      <c r="P90" s="11">
        <f>YEAR(Data!$B90)</f>
        <v>2024</v>
      </c>
      <c r="Q90" s="12">
        <f t="shared" ca="1" si="4"/>
        <v>46122.659248495373</v>
      </c>
      <c r="R90" s="21"/>
      <c r="S90" s="19" t="str">
        <f t="shared" si="7"/>
        <v>Normal</v>
      </c>
      <c r="T90" s="26"/>
      <c r="AH90" t="str">
        <f t="shared" si="5"/>
        <v>Mar</v>
      </c>
    </row>
    <row r="91" spans="1:34" ht="15" thickBot="1">
      <c r="A91" s="22" t="s">
        <v>218</v>
      </c>
      <c r="B91" s="8">
        <v>45517</v>
      </c>
      <c r="C91" s="7" t="s">
        <v>65</v>
      </c>
      <c r="D91" s="7" t="s">
        <v>66</v>
      </c>
      <c r="E91" s="7" t="s">
        <v>17</v>
      </c>
      <c r="F91" s="7" t="s">
        <v>18</v>
      </c>
      <c r="G91" s="7" t="s">
        <v>19</v>
      </c>
      <c r="H91" s="2">
        <v>3</v>
      </c>
      <c r="I91" s="2">
        <v>249.99</v>
      </c>
      <c r="J91" s="7" t="s">
        <v>34</v>
      </c>
      <c r="K91" s="7" t="s">
        <v>40</v>
      </c>
      <c r="L91" s="7" t="s">
        <v>27</v>
      </c>
      <c r="M91" s="8">
        <v>44465</v>
      </c>
      <c r="N91" s="5">
        <f t="shared" si="6"/>
        <v>749.97</v>
      </c>
      <c r="O91" s="7" t="str">
        <f>TEXT(Data!$B91,"mmm")</f>
        <v>Aug</v>
      </c>
      <c r="P91" s="9">
        <f>YEAR(Data!$B91)</f>
        <v>2024</v>
      </c>
      <c r="Q91" s="10">
        <f t="shared" ca="1" si="4"/>
        <v>46122.659248495373</v>
      </c>
      <c r="R91" s="20"/>
      <c r="S91" s="36" t="str">
        <f t="shared" si="7"/>
        <v>Normal</v>
      </c>
      <c r="T91" s="27"/>
      <c r="AH91" t="str">
        <f t="shared" si="5"/>
        <v>Kar</v>
      </c>
    </row>
    <row r="92" spans="1:34" ht="15" thickBot="1">
      <c r="A92" s="19" t="s">
        <v>219</v>
      </c>
      <c r="B92" s="4">
        <v>45517</v>
      </c>
      <c r="C92" s="3" t="s">
        <v>38</v>
      </c>
      <c r="D92" s="3" t="s">
        <v>39</v>
      </c>
      <c r="E92" s="3" t="s">
        <v>126</v>
      </c>
      <c r="F92" s="3" t="s">
        <v>127</v>
      </c>
      <c r="G92" s="3" t="s">
        <v>46</v>
      </c>
      <c r="H92" s="5">
        <v>4</v>
      </c>
      <c r="I92" s="5">
        <v>199.99</v>
      </c>
      <c r="J92" s="3" t="s">
        <v>20</v>
      </c>
      <c r="K92" s="3" t="s">
        <v>40</v>
      </c>
      <c r="L92" s="3" t="s">
        <v>36</v>
      </c>
      <c r="M92" s="4">
        <v>44458</v>
      </c>
      <c r="N92" s="5">
        <f t="shared" si="6"/>
        <v>799.96</v>
      </c>
      <c r="O92" s="3" t="str">
        <f>TEXT(Data!$B92,"mmm")</f>
        <v>Aug</v>
      </c>
      <c r="P92" s="11">
        <f>YEAR(Data!$B92)</f>
        <v>2024</v>
      </c>
      <c r="Q92" s="12">
        <f t="shared" ca="1" si="4"/>
        <v>46122.659248495373</v>
      </c>
      <c r="R92" s="21"/>
      <c r="S92" s="19" t="str">
        <f t="shared" si="7"/>
        <v>Normal</v>
      </c>
      <c r="T92" s="26"/>
      <c r="AH92" t="str">
        <f t="shared" si="5"/>
        <v>Kat</v>
      </c>
    </row>
    <row r="93" spans="1:34" ht="15" thickBot="1">
      <c r="A93" s="22" t="s">
        <v>220</v>
      </c>
      <c r="B93" s="8">
        <v>45519</v>
      </c>
      <c r="C93" s="7" t="s">
        <v>158</v>
      </c>
      <c r="D93" s="7" t="s">
        <v>159</v>
      </c>
      <c r="E93" s="7" t="s">
        <v>126</v>
      </c>
      <c r="F93" s="7" t="s">
        <v>127</v>
      </c>
      <c r="G93" s="7" t="s">
        <v>46</v>
      </c>
      <c r="H93" s="2">
        <v>5</v>
      </c>
      <c r="I93" s="2">
        <v>199.99</v>
      </c>
      <c r="J93" s="7" t="s">
        <v>20</v>
      </c>
      <c r="K93" s="7" t="s">
        <v>40</v>
      </c>
      <c r="L93" s="7" t="s">
        <v>27</v>
      </c>
      <c r="M93" s="8">
        <v>44991</v>
      </c>
      <c r="N93" s="5">
        <f t="shared" si="6"/>
        <v>999.95</v>
      </c>
      <c r="O93" s="7" t="str">
        <f>TEXT(Data!$B93,"mmm")</f>
        <v>Aug</v>
      </c>
      <c r="P93" s="9">
        <f>YEAR(Data!$B93)</f>
        <v>2024</v>
      </c>
      <c r="Q93" s="10">
        <f t="shared" ca="1" si="4"/>
        <v>46122.659248495373</v>
      </c>
      <c r="R93" s="20"/>
      <c r="S93" s="36" t="str">
        <f t="shared" si="7"/>
        <v>Normal</v>
      </c>
      <c r="T93" s="27"/>
      <c r="AH93" t="str">
        <f t="shared" si="5"/>
        <v>Bet</v>
      </c>
    </row>
    <row r="94" spans="1:34" ht="15" thickBot="1">
      <c r="A94" s="19" t="s">
        <v>221</v>
      </c>
      <c r="B94" s="4">
        <v>45522</v>
      </c>
      <c r="C94" s="3" t="s">
        <v>86</v>
      </c>
      <c r="D94" s="3" t="s">
        <v>87</v>
      </c>
      <c r="E94" s="3" t="s">
        <v>117</v>
      </c>
      <c r="F94" s="3" t="s">
        <v>118</v>
      </c>
      <c r="G94" s="3" t="s">
        <v>19</v>
      </c>
      <c r="H94" s="5">
        <v>2</v>
      </c>
      <c r="I94" s="5">
        <v>89.99</v>
      </c>
      <c r="J94" s="3" t="s">
        <v>20</v>
      </c>
      <c r="K94" s="3" t="s">
        <v>63</v>
      </c>
      <c r="L94" s="3" t="s">
        <v>27</v>
      </c>
      <c r="M94" s="4">
        <v>44972</v>
      </c>
      <c r="N94" s="5">
        <f t="shared" si="6"/>
        <v>179.98</v>
      </c>
      <c r="O94" s="3" t="str">
        <f>TEXT(Data!$B94,"mmm")</f>
        <v>Aug</v>
      </c>
      <c r="P94" s="11">
        <f>YEAR(Data!$B94)</f>
        <v>2024</v>
      </c>
      <c r="Q94" s="12">
        <f t="shared" ca="1" si="4"/>
        <v>46122.659248495373</v>
      </c>
      <c r="R94" s="21"/>
      <c r="S94" s="19" t="str">
        <f t="shared" si="7"/>
        <v>Normal</v>
      </c>
      <c r="T94" s="26"/>
      <c r="AH94" t="str">
        <f t="shared" si="5"/>
        <v>Mar</v>
      </c>
    </row>
    <row r="95" spans="1:34" ht="15" thickBot="1">
      <c r="A95" s="22" t="s">
        <v>222</v>
      </c>
      <c r="B95" s="8">
        <v>45523</v>
      </c>
      <c r="C95" s="7" t="s">
        <v>196</v>
      </c>
      <c r="D95" s="7" t="s">
        <v>197</v>
      </c>
      <c r="E95" s="7" t="s">
        <v>61</v>
      </c>
      <c r="F95" s="7" t="s">
        <v>62</v>
      </c>
      <c r="G95" s="7" t="s">
        <v>19</v>
      </c>
      <c r="H95" s="2">
        <v>5</v>
      </c>
      <c r="I95" s="2">
        <v>899.99</v>
      </c>
      <c r="J95" s="7" t="s">
        <v>57</v>
      </c>
      <c r="K95" s="7" t="s">
        <v>63</v>
      </c>
      <c r="L95" s="7" t="s">
        <v>22</v>
      </c>
      <c r="M95" s="8">
        <v>44526</v>
      </c>
      <c r="N95" s="5">
        <f t="shared" si="6"/>
        <v>4499.95</v>
      </c>
      <c r="O95" s="7" t="str">
        <f>TEXT(Data!$B95,"mmm")</f>
        <v>Aug</v>
      </c>
      <c r="P95" s="9">
        <f>YEAR(Data!$B95)</f>
        <v>2024</v>
      </c>
      <c r="Q95" s="10">
        <f t="shared" ca="1" si="4"/>
        <v>46122.659248495373</v>
      </c>
      <c r="R95" s="20"/>
      <c r="S95" s="36" t="str">
        <f t="shared" si="7"/>
        <v>High Value</v>
      </c>
      <c r="T95" s="27"/>
      <c r="AH95" t="str">
        <f t="shared" si="5"/>
        <v>Ger</v>
      </c>
    </row>
    <row r="96" spans="1:34" ht="15" thickBot="1">
      <c r="A96" s="19" t="s">
        <v>223</v>
      </c>
      <c r="B96" s="4">
        <v>45523</v>
      </c>
      <c r="C96" s="3" t="s">
        <v>108</v>
      </c>
      <c r="D96" s="3" t="s">
        <v>109</v>
      </c>
      <c r="E96" s="3" t="s">
        <v>52</v>
      </c>
      <c r="F96" s="3" t="s">
        <v>53</v>
      </c>
      <c r="G96" s="3" t="s">
        <v>19</v>
      </c>
      <c r="H96" s="5">
        <v>3</v>
      </c>
      <c r="I96" s="5">
        <v>149.99</v>
      </c>
      <c r="J96" s="3" t="s">
        <v>34</v>
      </c>
      <c r="K96" s="3" t="s">
        <v>63</v>
      </c>
      <c r="L96" s="3" t="s">
        <v>22</v>
      </c>
      <c r="M96" s="4">
        <v>44574</v>
      </c>
      <c r="N96" s="5">
        <f t="shared" si="6"/>
        <v>449.97</v>
      </c>
      <c r="O96" s="3" t="str">
        <f>TEXT(Data!$B96,"mmm")</f>
        <v>Aug</v>
      </c>
      <c r="P96" s="11">
        <f>YEAR(Data!$B96)</f>
        <v>2024</v>
      </c>
      <c r="Q96" s="12">
        <f t="shared" ca="1" si="4"/>
        <v>46122.659248495373</v>
      </c>
      <c r="R96" s="21"/>
      <c r="S96" s="19" t="str">
        <f t="shared" si="7"/>
        <v>Normal</v>
      </c>
      <c r="T96" s="26"/>
      <c r="AH96" t="str">
        <f t="shared" si="5"/>
        <v>Nan</v>
      </c>
    </row>
    <row r="97" spans="1:34" ht="15" thickBot="1">
      <c r="A97" s="22" t="s">
        <v>224</v>
      </c>
      <c r="B97" s="8">
        <v>45526</v>
      </c>
      <c r="C97" s="7" t="s">
        <v>102</v>
      </c>
      <c r="D97" s="7" t="s">
        <v>103</v>
      </c>
      <c r="E97" s="7" t="s">
        <v>44</v>
      </c>
      <c r="F97" s="7" t="s">
        <v>45</v>
      </c>
      <c r="G97" s="7" t="s">
        <v>46</v>
      </c>
      <c r="H97" s="2">
        <v>5</v>
      </c>
      <c r="I97" s="2">
        <v>149.99</v>
      </c>
      <c r="J97" s="7" t="s">
        <v>26</v>
      </c>
      <c r="K97" s="7" t="s">
        <v>21</v>
      </c>
      <c r="L97" s="7" t="s">
        <v>22</v>
      </c>
      <c r="M97" s="8">
        <v>45310</v>
      </c>
      <c r="N97" s="5">
        <f t="shared" si="6"/>
        <v>749.95</v>
      </c>
      <c r="O97" s="7" t="str">
        <f>TEXT(Data!$B97,"mmm")</f>
        <v>Aug</v>
      </c>
      <c r="P97" s="9">
        <f>YEAR(Data!$B97)</f>
        <v>2024</v>
      </c>
      <c r="Q97" s="10">
        <f t="shared" ca="1" si="4"/>
        <v>46122.659248495373</v>
      </c>
      <c r="R97" s="20"/>
      <c r="S97" s="36" t="str">
        <f t="shared" si="7"/>
        <v>Normal</v>
      </c>
      <c r="T97" s="27"/>
      <c r="AH97" t="str">
        <f t="shared" si="5"/>
        <v>Cyn</v>
      </c>
    </row>
    <row r="98" spans="1:34" ht="15" thickBot="1">
      <c r="A98" s="19" t="s">
        <v>225</v>
      </c>
      <c r="B98" s="4">
        <v>45528</v>
      </c>
      <c r="C98" s="3" t="s">
        <v>226</v>
      </c>
      <c r="D98" s="3" t="s">
        <v>227</v>
      </c>
      <c r="E98" s="3" t="s">
        <v>114</v>
      </c>
      <c r="F98" s="3" t="s">
        <v>115</v>
      </c>
      <c r="G98" s="3" t="s">
        <v>33</v>
      </c>
      <c r="H98" s="5">
        <v>3</v>
      </c>
      <c r="I98" s="5">
        <v>79.989999999999995</v>
      </c>
      <c r="J98" s="3" t="s">
        <v>20</v>
      </c>
      <c r="K98" s="3" t="s">
        <v>21</v>
      </c>
      <c r="L98" s="3" t="s">
        <v>27</v>
      </c>
      <c r="M98" s="4">
        <v>44779</v>
      </c>
      <c r="N98" s="5">
        <f t="shared" si="6"/>
        <v>239.96999999999997</v>
      </c>
      <c r="O98" s="3" t="str">
        <f>TEXT(Data!$B98,"mmm")</f>
        <v>Aug</v>
      </c>
      <c r="P98" s="11">
        <f>YEAR(Data!$B98)</f>
        <v>2024</v>
      </c>
      <c r="Q98" s="12">
        <f t="shared" ca="1" si="4"/>
        <v>46122.659248495373</v>
      </c>
      <c r="R98" s="21"/>
      <c r="S98" s="19" t="str">
        <f t="shared" si="7"/>
        <v>Normal</v>
      </c>
      <c r="T98" s="26"/>
      <c r="AH98" t="str">
        <f t="shared" si="5"/>
        <v>Law</v>
      </c>
    </row>
    <row r="99" spans="1:34" ht="15" thickBot="1">
      <c r="A99" s="22" t="s">
        <v>228</v>
      </c>
      <c r="B99" s="8">
        <v>45528</v>
      </c>
      <c r="C99" s="7" t="s">
        <v>144</v>
      </c>
      <c r="D99" s="7" t="s">
        <v>145</v>
      </c>
      <c r="E99" s="7" t="s">
        <v>17</v>
      </c>
      <c r="F99" s="7" t="s">
        <v>18</v>
      </c>
      <c r="G99" s="7" t="s">
        <v>19</v>
      </c>
      <c r="H99" s="2">
        <v>2</v>
      </c>
      <c r="I99" s="2">
        <v>249.99</v>
      </c>
      <c r="J99" s="7" t="s">
        <v>20</v>
      </c>
      <c r="K99" s="7" t="s">
        <v>35</v>
      </c>
      <c r="L99" s="7" t="s">
        <v>36</v>
      </c>
      <c r="M99" s="8">
        <v>44572</v>
      </c>
      <c r="N99" s="5">
        <f t="shared" si="6"/>
        <v>499.98</v>
      </c>
      <c r="O99" s="7" t="str">
        <f>TEXT(Data!$B99,"mmm")</f>
        <v>Aug</v>
      </c>
      <c r="P99" s="9">
        <f>YEAR(Data!$B99)</f>
        <v>2024</v>
      </c>
      <c r="Q99" s="10">
        <f t="shared" ca="1" si="4"/>
        <v>46122.659248495373</v>
      </c>
      <c r="R99" s="20"/>
      <c r="S99" s="36" t="str">
        <f t="shared" si="7"/>
        <v>Normal</v>
      </c>
      <c r="T99" s="27"/>
      <c r="AH99" t="str">
        <f t="shared" si="5"/>
        <v>Har</v>
      </c>
    </row>
    <row r="100" spans="1:34" ht="15" thickBot="1">
      <c r="A100" s="19" t="s">
        <v>229</v>
      </c>
      <c r="B100" s="4">
        <v>45532</v>
      </c>
      <c r="C100" s="3" t="s">
        <v>196</v>
      </c>
      <c r="D100" s="3" t="s">
        <v>197</v>
      </c>
      <c r="E100" s="3" t="s">
        <v>80</v>
      </c>
      <c r="F100" s="3" t="s">
        <v>81</v>
      </c>
      <c r="G100" s="3" t="s">
        <v>19</v>
      </c>
      <c r="H100" s="5">
        <v>1</v>
      </c>
      <c r="I100" s="5">
        <v>699.99</v>
      </c>
      <c r="J100" s="3" t="s">
        <v>20</v>
      </c>
      <c r="K100" s="3" t="s">
        <v>21</v>
      </c>
      <c r="L100" s="3" t="s">
        <v>27</v>
      </c>
      <c r="M100" s="4">
        <v>44497</v>
      </c>
      <c r="N100" s="5">
        <f t="shared" si="6"/>
        <v>699.99</v>
      </c>
      <c r="O100" s="3" t="str">
        <f>TEXT(Data!$B100,"mmm")</f>
        <v>Aug</v>
      </c>
      <c r="P100" s="11">
        <f>YEAR(Data!$B100)</f>
        <v>2024</v>
      </c>
      <c r="Q100" s="12">
        <f t="shared" ca="1" si="4"/>
        <v>46122.659248495373</v>
      </c>
      <c r="R100" s="21"/>
      <c r="S100" s="19" t="str">
        <f t="shared" si="7"/>
        <v>Normal</v>
      </c>
      <c r="T100" s="26"/>
      <c r="AH100" t="str">
        <f t="shared" si="5"/>
        <v>Ger</v>
      </c>
    </row>
    <row r="101" spans="1:34" ht="15" thickBot="1">
      <c r="A101" s="22" t="s">
        <v>230</v>
      </c>
      <c r="B101" s="8">
        <v>45532</v>
      </c>
      <c r="C101" s="7" t="s">
        <v>231</v>
      </c>
      <c r="D101" s="7" t="s">
        <v>232</v>
      </c>
      <c r="E101" s="7" t="s">
        <v>52</v>
      </c>
      <c r="F101" s="7" t="s">
        <v>53</v>
      </c>
      <c r="G101" s="7" t="s">
        <v>19</v>
      </c>
      <c r="H101" s="2">
        <v>3</v>
      </c>
      <c r="I101" s="2">
        <v>149.99</v>
      </c>
      <c r="J101" s="7" t="s">
        <v>20</v>
      </c>
      <c r="K101" s="7" t="s">
        <v>50</v>
      </c>
      <c r="L101" s="7" t="s">
        <v>27</v>
      </c>
      <c r="M101" s="8">
        <v>45212</v>
      </c>
      <c r="N101" s="5">
        <f t="shared" si="6"/>
        <v>449.97</v>
      </c>
      <c r="O101" s="7" t="str">
        <f>TEXT(Data!$B101,"mmm")</f>
        <v>Aug</v>
      </c>
      <c r="P101" s="9">
        <f>YEAR(Data!$B101)</f>
        <v>2024</v>
      </c>
      <c r="Q101" s="10">
        <f t="shared" ca="1" si="4"/>
        <v>46122.659248495373</v>
      </c>
      <c r="R101" s="20"/>
      <c r="S101" s="36" t="str">
        <f t="shared" si="7"/>
        <v>Normal</v>
      </c>
      <c r="T101" s="27"/>
      <c r="AH101" t="str">
        <f t="shared" si="5"/>
        <v>Car</v>
      </c>
    </row>
    <row r="102" spans="1:34" ht="15" thickBot="1">
      <c r="A102" s="19" t="s">
        <v>233</v>
      </c>
      <c r="B102" s="4">
        <v>45534</v>
      </c>
      <c r="C102" s="3" t="s">
        <v>234</v>
      </c>
      <c r="D102" s="3" t="s">
        <v>235</v>
      </c>
      <c r="E102" s="3" t="s">
        <v>80</v>
      </c>
      <c r="F102" s="3" t="s">
        <v>81</v>
      </c>
      <c r="G102" s="3" t="s">
        <v>19</v>
      </c>
      <c r="H102" s="5">
        <v>2</v>
      </c>
      <c r="I102" s="5">
        <v>699.99</v>
      </c>
      <c r="J102" s="3" t="s">
        <v>26</v>
      </c>
      <c r="K102" s="3" t="s">
        <v>40</v>
      </c>
      <c r="L102" s="3" t="s">
        <v>27</v>
      </c>
      <c r="M102" s="4">
        <v>44421</v>
      </c>
      <c r="N102" s="5">
        <f t="shared" si="6"/>
        <v>1399.98</v>
      </c>
      <c r="O102" s="3" t="str">
        <f>TEXT(Data!$B102,"mmm")</f>
        <v>Aug</v>
      </c>
      <c r="P102" s="11">
        <f>YEAR(Data!$B102)</f>
        <v>2024</v>
      </c>
      <c r="Q102" s="12">
        <f t="shared" ca="1" si="4"/>
        <v>46122.659248495373</v>
      </c>
      <c r="R102" s="21"/>
      <c r="S102" s="19" t="str">
        <f t="shared" si="7"/>
        <v>Normal</v>
      </c>
      <c r="T102" s="26"/>
      <c r="AH102" t="str">
        <f t="shared" si="5"/>
        <v>San</v>
      </c>
    </row>
    <row r="103" spans="1:34" ht="15" thickBot="1">
      <c r="A103" s="22" t="s">
        <v>236</v>
      </c>
      <c r="B103" s="8">
        <v>45537</v>
      </c>
      <c r="C103" s="7" t="s">
        <v>231</v>
      </c>
      <c r="D103" s="7" t="s">
        <v>232</v>
      </c>
      <c r="E103" s="7" t="s">
        <v>17</v>
      </c>
      <c r="F103" s="7" t="s">
        <v>18</v>
      </c>
      <c r="G103" s="7" t="s">
        <v>19</v>
      </c>
      <c r="H103" s="2">
        <v>1</v>
      </c>
      <c r="I103" s="2">
        <v>249.99</v>
      </c>
      <c r="J103" s="7" t="s">
        <v>26</v>
      </c>
      <c r="K103" s="7" t="s">
        <v>50</v>
      </c>
      <c r="L103" s="7" t="s">
        <v>27</v>
      </c>
      <c r="M103" s="8">
        <v>44685</v>
      </c>
      <c r="N103" s="5">
        <f t="shared" si="6"/>
        <v>249.99</v>
      </c>
      <c r="O103" s="7" t="str">
        <f>TEXT(Data!$B103,"mmm")</f>
        <v>Sep</v>
      </c>
      <c r="P103" s="9">
        <f>YEAR(Data!$B103)</f>
        <v>2024</v>
      </c>
      <c r="Q103" s="10">
        <f t="shared" ca="1" si="4"/>
        <v>46122.659248495373</v>
      </c>
      <c r="R103" s="20"/>
      <c r="S103" s="36" t="str">
        <f t="shared" si="7"/>
        <v>Normal</v>
      </c>
      <c r="T103" s="27"/>
      <c r="AH103" t="str">
        <f t="shared" si="5"/>
        <v>Car</v>
      </c>
    </row>
    <row r="104" spans="1:34" ht="15" thickBot="1">
      <c r="A104" s="19" t="s">
        <v>237</v>
      </c>
      <c r="B104" s="4">
        <v>45537</v>
      </c>
      <c r="C104" s="3" t="s">
        <v>15</v>
      </c>
      <c r="D104" s="3" t="s">
        <v>16</v>
      </c>
      <c r="E104" s="3" t="s">
        <v>17</v>
      </c>
      <c r="F104" s="3" t="s">
        <v>18</v>
      </c>
      <c r="G104" s="3" t="s">
        <v>19</v>
      </c>
      <c r="H104" s="5">
        <v>1</v>
      </c>
      <c r="I104" s="5">
        <v>249.99</v>
      </c>
      <c r="J104" s="3" t="s">
        <v>57</v>
      </c>
      <c r="K104" s="3" t="s">
        <v>40</v>
      </c>
      <c r="L104" s="3" t="s">
        <v>27</v>
      </c>
      <c r="M104" s="4">
        <v>45332</v>
      </c>
      <c r="N104" s="5">
        <f t="shared" si="6"/>
        <v>249.99</v>
      </c>
      <c r="O104" s="3" t="str">
        <f>TEXT(Data!$B104,"mmm")</f>
        <v>Sep</v>
      </c>
      <c r="P104" s="11">
        <f>YEAR(Data!$B104)</f>
        <v>2024</v>
      </c>
      <c r="Q104" s="12">
        <f t="shared" ca="1" si="4"/>
        <v>46122.659248495373</v>
      </c>
      <c r="R104" s="21"/>
      <c r="S104" s="19" t="str">
        <f t="shared" si="7"/>
        <v>Normal</v>
      </c>
      <c r="T104" s="26"/>
      <c r="AH104" t="str">
        <f t="shared" si="5"/>
        <v>Pau</v>
      </c>
    </row>
    <row r="105" spans="1:34" ht="15" thickBot="1">
      <c r="A105" s="22" t="s">
        <v>238</v>
      </c>
      <c r="B105" s="8">
        <v>45538</v>
      </c>
      <c r="C105" s="7" t="s">
        <v>226</v>
      </c>
      <c r="D105" s="7" t="s">
        <v>227</v>
      </c>
      <c r="E105" s="7" t="s">
        <v>80</v>
      </c>
      <c r="F105" s="7" t="s">
        <v>81</v>
      </c>
      <c r="G105" s="7" t="s">
        <v>19</v>
      </c>
      <c r="H105" s="2">
        <v>2</v>
      </c>
      <c r="I105" s="2">
        <v>699.99</v>
      </c>
      <c r="J105" s="7" t="s">
        <v>57</v>
      </c>
      <c r="K105" s="7" t="s">
        <v>21</v>
      </c>
      <c r="L105" s="7" t="s">
        <v>27</v>
      </c>
      <c r="M105" s="8">
        <v>44870</v>
      </c>
      <c r="N105" s="5">
        <f t="shared" si="6"/>
        <v>1399.98</v>
      </c>
      <c r="O105" s="7" t="str">
        <f>TEXT(Data!$B105,"mmm")</f>
        <v>Sep</v>
      </c>
      <c r="P105" s="9">
        <f>YEAR(Data!$B105)</f>
        <v>2024</v>
      </c>
      <c r="Q105" s="10">
        <f t="shared" ca="1" si="4"/>
        <v>46122.659248495373</v>
      </c>
      <c r="R105" s="20"/>
      <c r="S105" s="36" t="str">
        <f t="shared" si="7"/>
        <v>Normal</v>
      </c>
      <c r="T105" s="27"/>
      <c r="AH105" t="str">
        <f t="shared" si="5"/>
        <v>Law</v>
      </c>
    </row>
    <row r="106" spans="1:34" ht="15" thickBot="1">
      <c r="A106" s="19" t="s">
        <v>239</v>
      </c>
      <c r="B106" s="4">
        <v>45541</v>
      </c>
      <c r="C106" s="3" t="s">
        <v>138</v>
      </c>
      <c r="D106" s="3" t="s">
        <v>139</v>
      </c>
      <c r="E106" s="3" t="s">
        <v>31</v>
      </c>
      <c r="F106" s="3" t="s">
        <v>32</v>
      </c>
      <c r="G106" s="3" t="s">
        <v>33</v>
      </c>
      <c r="H106" s="5">
        <v>3</v>
      </c>
      <c r="I106" s="5">
        <v>59.99</v>
      </c>
      <c r="J106" s="3" t="s">
        <v>26</v>
      </c>
      <c r="K106" s="3" t="s">
        <v>21</v>
      </c>
      <c r="L106" s="3" t="s">
        <v>27</v>
      </c>
      <c r="M106" s="4">
        <v>44717</v>
      </c>
      <c r="N106" s="5">
        <f t="shared" si="6"/>
        <v>179.97</v>
      </c>
      <c r="O106" s="3" t="str">
        <f>TEXT(Data!$B106,"mmm")</f>
        <v>Sep</v>
      </c>
      <c r="P106" s="11">
        <f>YEAR(Data!$B106)</f>
        <v>2024</v>
      </c>
      <c r="Q106" s="12">
        <f t="shared" ca="1" si="4"/>
        <v>46122.659248495373</v>
      </c>
      <c r="R106" s="21"/>
      <c r="S106" s="19" t="str">
        <f t="shared" si="7"/>
        <v>Normal</v>
      </c>
      <c r="T106" s="26"/>
      <c r="AH106" t="str">
        <f t="shared" si="5"/>
        <v>Ste</v>
      </c>
    </row>
    <row r="107" spans="1:34" ht="15" thickBot="1">
      <c r="A107" s="22" t="s">
        <v>240</v>
      </c>
      <c r="B107" s="8">
        <v>45544</v>
      </c>
      <c r="C107" s="7" t="s">
        <v>132</v>
      </c>
      <c r="D107" s="7" t="s">
        <v>133</v>
      </c>
      <c r="E107" s="7" t="s">
        <v>31</v>
      </c>
      <c r="F107" s="7" t="s">
        <v>32</v>
      </c>
      <c r="G107" s="7" t="s">
        <v>33</v>
      </c>
      <c r="H107" s="2">
        <v>3</v>
      </c>
      <c r="I107" s="2">
        <v>59.99</v>
      </c>
      <c r="J107" s="7" t="s">
        <v>34</v>
      </c>
      <c r="K107" s="7" t="s">
        <v>63</v>
      </c>
      <c r="L107" s="7" t="s">
        <v>36</v>
      </c>
      <c r="M107" s="8">
        <v>44748</v>
      </c>
      <c r="N107" s="5">
        <f t="shared" si="6"/>
        <v>179.97</v>
      </c>
      <c r="O107" s="7" t="str">
        <f>TEXT(Data!$B107,"mmm")</f>
        <v>Sep</v>
      </c>
      <c r="P107" s="9">
        <f>YEAR(Data!$B107)</f>
        <v>2024</v>
      </c>
      <c r="Q107" s="10">
        <f t="shared" ca="1" si="4"/>
        <v>46122.659248495373</v>
      </c>
      <c r="R107" s="20"/>
      <c r="S107" s="36" t="str">
        <f t="shared" si="7"/>
        <v>Normal</v>
      </c>
      <c r="T107" s="27"/>
      <c r="AH107" t="str">
        <f t="shared" si="5"/>
        <v>Emm</v>
      </c>
    </row>
    <row r="108" spans="1:34" ht="15" thickBot="1">
      <c r="A108" s="19" t="s">
        <v>241</v>
      </c>
      <c r="B108" s="4">
        <v>45544</v>
      </c>
      <c r="C108" s="3" t="s">
        <v>141</v>
      </c>
      <c r="D108" s="3" t="s">
        <v>142</v>
      </c>
      <c r="E108" s="3" t="s">
        <v>114</v>
      </c>
      <c r="F108" s="3" t="s">
        <v>115</v>
      </c>
      <c r="G108" s="3" t="s">
        <v>33</v>
      </c>
      <c r="H108" s="5">
        <v>4</v>
      </c>
      <c r="I108" s="5">
        <v>79.989999999999995</v>
      </c>
      <c r="J108" s="3" t="s">
        <v>20</v>
      </c>
      <c r="K108" s="3" t="s">
        <v>40</v>
      </c>
      <c r="L108" s="3" t="s">
        <v>22</v>
      </c>
      <c r="M108" s="4">
        <v>44530</v>
      </c>
      <c r="N108" s="5">
        <f t="shared" si="6"/>
        <v>319.95999999999998</v>
      </c>
      <c r="O108" s="3" t="str">
        <f>TEXT(Data!$B108,"mmm")</f>
        <v>Sep</v>
      </c>
      <c r="P108" s="11">
        <f>YEAR(Data!$B108)</f>
        <v>2024</v>
      </c>
      <c r="Q108" s="12">
        <f t="shared" ca="1" si="4"/>
        <v>46122.659248495373</v>
      </c>
      <c r="R108" s="21"/>
      <c r="S108" s="19" t="str">
        <f t="shared" si="7"/>
        <v>Normal</v>
      </c>
      <c r="T108" s="26"/>
      <c r="AH108" t="str">
        <f t="shared" si="5"/>
        <v>Jen</v>
      </c>
    </row>
    <row r="109" spans="1:34" ht="15" thickBot="1">
      <c r="A109" s="22" t="s">
        <v>242</v>
      </c>
      <c r="B109" s="8">
        <v>45545</v>
      </c>
      <c r="C109" s="7" t="s">
        <v>55</v>
      </c>
      <c r="D109" s="7" t="s">
        <v>56</v>
      </c>
      <c r="E109" s="7" t="s">
        <v>114</v>
      </c>
      <c r="F109" s="7" t="s">
        <v>115</v>
      </c>
      <c r="G109" s="7" t="s">
        <v>33</v>
      </c>
      <c r="H109" s="2">
        <v>1</v>
      </c>
      <c r="I109" s="2">
        <v>79.989999999999995</v>
      </c>
      <c r="J109" s="7" t="s">
        <v>20</v>
      </c>
      <c r="K109" s="7" t="s">
        <v>50</v>
      </c>
      <c r="L109" s="7" t="s">
        <v>22</v>
      </c>
      <c r="M109" s="8">
        <v>44693</v>
      </c>
      <c r="N109" s="5">
        <f t="shared" si="6"/>
        <v>79.989999999999995</v>
      </c>
      <c r="O109" s="7" t="str">
        <f>TEXT(Data!$B109,"mmm")</f>
        <v>Sep</v>
      </c>
      <c r="P109" s="9">
        <f>YEAR(Data!$B109)</f>
        <v>2024</v>
      </c>
      <c r="Q109" s="10">
        <f t="shared" ca="1" si="4"/>
        <v>46122.659248495373</v>
      </c>
      <c r="R109" s="20"/>
      <c r="S109" s="36" t="str">
        <f t="shared" si="7"/>
        <v>Normal</v>
      </c>
      <c r="T109" s="27"/>
      <c r="AH109" t="str">
        <f t="shared" si="5"/>
        <v>Cha</v>
      </c>
    </row>
    <row r="110" spans="1:34" ht="15" thickBot="1">
      <c r="A110" s="19" t="s">
        <v>243</v>
      </c>
      <c r="B110" s="4">
        <v>45547</v>
      </c>
      <c r="C110" s="3" t="s">
        <v>48</v>
      </c>
      <c r="D110" s="3" t="s">
        <v>49</v>
      </c>
      <c r="E110" s="3" t="s">
        <v>105</v>
      </c>
      <c r="F110" s="3" t="s">
        <v>106</v>
      </c>
      <c r="G110" s="3" t="s">
        <v>46</v>
      </c>
      <c r="H110" s="5">
        <v>3</v>
      </c>
      <c r="I110" s="5">
        <v>299.99</v>
      </c>
      <c r="J110" s="3" t="s">
        <v>26</v>
      </c>
      <c r="K110" s="3" t="s">
        <v>21</v>
      </c>
      <c r="L110" s="3" t="s">
        <v>27</v>
      </c>
      <c r="M110" s="4">
        <v>44494</v>
      </c>
      <c r="N110" s="5">
        <f t="shared" si="6"/>
        <v>899.97</v>
      </c>
      <c r="O110" s="3" t="str">
        <f>TEXT(Data!$B110,"mmm")</f>
        <v>Sep</v>
      </c>
      <c r="P110" s="11">
        <f>YEAR(Data!$B110)</f>
        <v>2024</v>
      </c>
      <c r="Q110" s="12">
        <f t="shared" ca="1" si="4"/>
        <v>46122.659248495373</v>
      </c>
      <c r="R110" s="21"/>
      <c r="S110" s="19" t="str">
        <f t="shared" si="7"/>
        <v>Normal</v>
      </c>
      <c r="T110" s="26"/>
      <c r="AH110" t="str">
        <f t="shared" si="5"/>
        <v>Dor</v>
      </c>
    </row>
    <row r="111" spans="1:34" ht="15" thickBot="1">
      <c r="A111" s="22" t="s">
        <v>244</v>
      </c>
      <c r="B111" s="8">
        <v>45548</v>
      </c>
      <c r="C111" s="7" t="s">
        <v>38</v>
      </c>
      <c r="D111" s="7" t="s">
        <v>39</v>
      </c>
      <c r="E111" s="7" t="s">
        <v>117</v>
      </c>
      <c r="F111" s="7" t="s">
        <v>118</v>
      </c>
      <c r="G111" s="7" t="s">
        <v>19</v>
      </c>
      <c r="H111" s="2">
        <v>2</v>
      </c>
      <c r="I111" s="2">
        <v>89.99</v>
      </c>
      <c r="J111" s="7" t="s">
        <v>26</v>
      </c>
      <c r="K111" s="7" t="s">
        <v>35</v>
      </c>
      <c r="L111" s="7" t="s">
        <v>27</v>
      </c>
      <c r="M111" s="8">
        <v>44641</v>
      </c>
      <c r="N111" s="5">
        <f t="shared" si="6"/>
        <v>179.98</v>
      </c>
      <c r="O111" s="7" t="str">
        <f>TEXT(Data!$B111,"mmm")</f>
        <v>Sep</v>
      </c>
      <c r="P111" s="9">
        <f>YEAR(Data!$B111)</f>
        <v>2024</v>
      </c>
      <c r="Q111" s="10">
        <f t="shared" ca="1" si="4"/>
        <v>46122.659248495373</v>
      </c>
      <c r="R111" s="20"/>
      <c r="S111" s="36" t="str">
        <f t="shared" si="7"/>
        <v>Normal</v>
      </c>
      <c r="T111" s="27"/>
      <c r="AH111" t="str">
        <f t="shared" si="5"/>
        <v>Kat</v>
      </c>
    </row>
    <row r="112" spans="1:34" ht="15" thickBot="1">
      <c r="A112" s="19" t="s">
        <v>245</v>
      </c>
      <c r="B112" s="4">
        <v>45550</v>
      </c>
      <c r="C112" s="3" t="s">
        <v>246</v>
      </c>
      <c r="D112" s="3" t="s">
        <v>247</v>
      </c>
      <c r="E112" s="3" t="s">
        <v>52</v>
      </c>
      <c r="F112" s="3" t="s">
        <v>53</v>
      </c>
      <c r="G112" s="3" t="s">
        <v>19</v>
      </c>
      <c r="H112" s="5">
        <v>4</v>
      </c>
      <c r="I112" s="5">
        <v>149.99</v>
      </c>
      <c r="J112" s="3" t="s">
        <v>20</v>
      </c>
      <c r="K112" s="3" t="s">
        <v>40</v>
      </c>
      <c r="L112" s="3" t="s">
        <v>22</v>
      </c>
      <c r="M112" s="4">
        <v>44909</v>
      </c>
      <c r="N112" s="5">
        <f t="shared" si="6"/>
        <v>599.96</v>
      </c>
      <c r="O112" s="3" t="str">
        <f>TEXT(Data!$B112,"mmm")</f>
        <v>Sep</v>
      </c>
      <c r="P112" s="11">
        <f>YEAR(Data!$B112)</f>
        <v>2024</v>
      </c>
      <c r="Q112" s="12">
        <f t="shared" ca="1" si="4"/>
        <v>46122.659248495373</v>
      </c>
      <c r="R112" s="21"/>
      <c r="S112" s="19" t="str">
        <f t="shared" si="7"/>
        <v>Normal</v>
      </c>
      <c r="T112" s="26"/>
      <c r="AH112" t="str">
        <f t="shared" si="5"/>
        <v>Rut</v>
      </c>
    </row>
    <row r="113" spans="1:34" ht="15" thickBot="1">
      <c r="A113" s="22" t="s">
        <v>248</v>
      </c>
      <c r="B113" s="8">
        <v>45551</v>
      </c>
      <c r="C113" s="7" t="s">
        <v>65</v>
      </c>
      <c r="D113" s="7" t="s">
        <v>66</v>
      </c>
      <c r="E113" s="7" t="s">
        <v>17</v>
      </c>
      <c r="F113" s="7" t="s">
        <v>18</v>
      </c>
      <c r="G113" s="7" t="s">
        <v>19</v>
      </c>
      <c r="H113" s="2">
        <v>2</v>
      </c>
      <c r="I113" s="2">
        <v>249.99</v>
      </c>
      <c r="J113" s="7" t="s">
        <v>34</v>
      </c>
      <c r="K113" s="7" t="s">
        <v>35</v>
      </c>
      <c r="L113" s="7" t="s">
        <v>22</v>
      </c>
      <c r="M113" s="8">
        <v>44993</v>
      </c>
      <c r="N113" s="5">
        <f t="shared" si="6"/>
        <v>499.98</v>
      </c>
      <c r="O113" s="7" t="str">
        <f>TEXT(Data!$B113,"mmm")</f>
        <v>Sep</v>
      </c>
      <c r="P113" s="9">
        <f>YEAR(Data!$B113)</f>
        <v>2024</v>
      </c>
      <c r="Q113" s="10">
        <f t="shared" ca="1" si="4"/>
        <v>46122.659248495373</v>
      </c>
      <c r="R113" s="20"/>
      <c r="S113" s="36" t="str">
        <f t="shared" si="7"/>
        <v>Normal</v>
      </c>
      <c r="T113" s="27"/>
      <c r="AH113" t="str">
        <f t="shared" si="5"/>
        <v>Kar</v>
      </c>
    </row>
    <row r="114" spans="1:34" ht="15" thickBot="1">
      <c r="A114" s="19" t="s">
        <v>249</v>
      </c>
      <c r="B114" s="4">
        <v>45551</v>
      </c>
      <c r="C114" s="3" t="s">
        <v>154</v>
      </c>
      <c r="D114" s="3" t="s">
        <v>155</v>
      </c>
      <c r="E114" s="3" t="s">
        <v>126</v>
      </c>
      <c r="F114" s="3" t="s">
        <v>127</v>
      </c>
      <c r="G114" s="3" t="s">
        <v>46</v>
      </c>
      <c r="H114" s="5">
        <v>4</v>
      </c>
      <c r="I114" s="5">
        <v>199.99</v>
      </c>
      <c r="J114" s="3" t="s">
        <v>57</v>
      </c>
      <c r="K114" s="3" t="s">
        <v>63</v>
      </c>
      <c r="L114" s="3" t="s">
        <v>22</v>
      </c>
      <c r="M114" s="4">
        <v>44458</v>
      </c>
      <c r="N114" s="5">
        <f t="shared" si="6"/>
        <v>799.96</v>
      </c>
      <c r="O114" s="3" t="str">
        <f>TEXT(Data!$B114,"mmm")</f>
        <v>Sep</v>
      </c>
      <c r="P114" s="11">
        <f>YEAR(Data!$B114)</f>
        <v>2024</v>
      </c>
      <c r="Q114" s="12">
        <f t="shared" ca="1" si="4"/>
        <v>46122.659248495373</v>
      </c>
      <c r="R114" s="21"/>
      <c r="S114" s="19" t="str">
        <f t="shared" si="7"/>
        <v>Normal</v>
      </c>
      <c r="T114" s="26"/>
      <c r="AH114" t="str">
        <f t="shared" si="5"/>
        <v>Sar</v>
      </c>
    </row>
    <row r="115" spans="1:34" ht="15" thickBot="1">
      <c r="A115" s="22" t="s">
        <v>250</v>
      </c>
      <c r="B115" s="8">
        <v>45554</v>
      </c>
      <c r="C115" s="7" t="s">
        <v>147</v>
      </c>
      <c r="D115" s="7" t="s">
        <v>148</v>
      </c>
      <c r="E115" s="7" t="s">
        <v>117</v>
      </c>
      <c r="F115" s="7" t="s">
        <v>118</v>
      </c>
      <c r="G115" s="7" t="s">
        <v>19</v>
      </c>
      <c r="H115" s="2">
        <v>5</v>
      </c>
      <c r="I115" s="2">
        <v>89.99</v>
      </c>
      <c r="J115" s="7" t="s">
        <v>26</v>
      </c>
      <c r="K115" s="7" t="s">
        <v>63</v>
      </c>
      <c r="L115" s="7" t="s">
        <v>27</v>
      </c>
      <c r="M115" s="8">
        <v>44446</v>
      </c>
      <c r="N115" s="5">
        <f t="shared" si="6"/>
        <v>449.95</v>
      </c>
      <c r="O115" s="7" t="str">
        <f>TEXT(Data!$B115,"mmm")</f>
        <v>Sep</v>
      </c>
      <c r="P115" s="9">
        <f>YEAR(Data!$B115)</f>
        <v>2024</v>
      </c>
      <c r="Q115" s="10">
        <f t="shared" ca="1" si="4"/>
        <v>46122.659248495373</v>
      </c>
      <c r="R115" s="20"/>
      <c r="S115" s="36" t="str">
        <f t="shared" si="7"/>
        <v>Normal</v>
      </c>
      <c r="T115" s="27"/>
      <c r="AH115" t="str">
        <f t="shared" si="5"/>
        <v>Dan</v>
      </c>
    </row>
    <row r="116" spans="1:34" ht="15" thickBot="1">
      <c r="A116" s="19" t="s">
        <v>251</v>
      </c>
      <c r="B116" s="4">
        <v>45554</v>
      </c>
      <c r="C116" s="3" t="s">
        <v>252</v>
      </c>
      <c r="D116" s="3" t="s">
        <v>253</v>
      </c>
      <c r="E116" s="3" t="s">
        <v>52</v>
      </c>
      <c r="F116" s="3" t="s">
        <v>53</v>
      </c>
      <c r="G116" s="3" t="s">
        <v>19</v>
      </c>
      <c r="H116" s="5">
        <v>1</v>
      </c>
      <c r="I116" s="5">
        <v>149.99</v>
      </c>
      <c r="J116" s="3" t="s">
        <v>34</v>
      </c>
      <c r="K116" s="3" t="s">
        <v>63</v>
      </c>
      <c r="L116" s="3" t="s">
        <v>36</v>
      </c>
      <c r="M116" s="4">
        <v>44482</v>
      </c>
      <c r="N116" s="5">
        <f t="shared" si="6"/>
        <v>149.99</v>
      </c>
      <c r="O116" s="3" t="str">
        <f>TEXT(Data!$B116,"mmm")</f>
        <v>Sep</v>
      </c>
      <c r="P116" s="11">
        <f>YEAR(Data!$B116)</f>
        <v>2024</v>
      </c>
      <c r="Q116" s="12">
        <f t="shared" ca="1" si="4"/>
        <v>46122.659248495373</v>
      </c>
      <c r="R116" s="21"/>
      <c r="S116" s="19" t="str">
        <f t="shared" si="7"/>
        <v>Normal</v>
      </c>
      <c r="T116" s="26"/>
      <c r="AH116" t="str">
        <f t="shared" si="5"/>
        <v>Wil</v>
      </c>
    </row>
    <row r="117" spans="1:34" ht="15" thickBot="1">
      <c r="A117" s="22" t="s">
        <v>254</v>
      </c>
      <c r="B117" s="8">
        <v>45554</v>
      </c>
      <c r="C117" s="7" t="s">
        <v>72</v>
      </c>
      <c r="D117" s="7" t="s">
        <v>73</v>
      </c>
      <c r="E117" s="7" t="s">
        <v>80</v>
      </c>
      <c r="F117" s="7" t="s">
        <v>81</v>
      </c>
      <c r="G117" s="7" t="s">
        <v>19</v>
      </c>
      <c r="H117" s="2">
        <v>4</v>
      </c>
      <c r="I117" s="2">
        <v>699.99</v>
      </c>
      <c r="J117" s="7" t="s">
        <v>34</v>
      </c>
      <c r="K117" s="7" t="s">
        <v>35</v>
      </c>
      <c r="L117" s="7" t="s">
        <v>22</v>
      </c>
      <c r="M117" s="8">
        <v>44618</v>
      </c>
      <c r="N117" s="5">
        <f t="shared" si="6"/>
        <v>2799.96</v>
      </c>
      <c r="O117" s="7" t="str">
        <f>TEXT(Data!$B117,"mmm")</f>
        <v>Sep</v>
      </c>
      <c r="P117" s="9">
        <f>YEAR(Data!$B117)</f>
        <v>2024</v>
      </c>
      <c r="Q117" s="10">
        <f t="shared" ca="1" si="4"/>
        <v>46122.659248495373</v>
      </c>
      <c r="R117" s="20"/>
      <c r="S117" s="36" t="str">
        <f t="shared" si="7"/>
        <v>High Value</v>
      </c>
      <c r="T117" s="27"/>
      <c r="AH117" t="str">
        <f t="shared" si="5"/>
        <v>Pet</v>
      </c>
    </row>
    <row r="118" spans="1:34" ht="15" thickBot="1">
      <c r="A118" s="19" t="s">
        <v>255</v>
      </c>
      <c r="B118" s="4">
        <v>45559</v>
      </c>
      <c r="C118" s="3" t="s">
        <v>234</v>
      </c>
      <c r="D118" s="3" t="s">
        <v>235</v>
      </c>
      <c r="E118" s="3" t="s">
        <v>61</v>
      </c>
      <c r="F118" s="3" t="s">
        <v>62</v>
      </c>
      <c r="G118" s="3" t="s">
        <v>19</v>
      </c>
      <c r="H118" s="5">
        <v>3</v>
      </c>
      <c r="I118" s="5">
        <v>899.99</v>
      </c>
      <c r="J118" s="3" t="s">
        <v>26</v>
      </c>
      <c r="K118" s="3" t="s">
        <v>40</v>
      </c>
      <c r="L118" s="3" t="s">
        <v>36</v>
      </c>
      <c r="M118" s="4">
        <v>45157</v>
      </c>
      <c r="N118" s="5">
        <f t="shared" si="6"/>
        <v>2699.9700000000003</v>
      </c>
      <c r="O118" s="3" t="str">
        <f>TEXT(Data!$B118,"mmm")</f>
        <v>Sep</v>
      </c>
      <c r="P118" s="11">
        <f>YEAR(Data!$B118)</f>
        <v>2024</v>
      </c>
      <c r="Q118" s="12">
        <f t="shared" ca="1" si="4"/>
        <v>46122.659248495373</v>
      </c>
      <c r="R118" s="21"/>
      <c r="S118" s="19" t="str">
        <f t="shared" si="7"/>
        <v>High Value</v>
      </c>
      <c r="T118" s="26"/>
      <c r="AH118" t="str">
        <f t="shared" si="5"/>
        <v>San</v>
      </c>
    </row>
    <row r="119" spans="1:34" ht="15" thickBot="1">
      <c r="A119" s="22" t="s">
        <v>256</v>
      </c>
      <c r="B119" s="8">
        <v>45560</v>
      </c>
      <c r="C119" s="7" t="s">
        <v>112</v>
      </c>
      <c r="D119" s="7" t="s">
        <v>113</v>
      </c>
      <c r="E119" s="7" t="s">
        <v>44</v>
      </c>
      <c r="F119" s="7" t="s">
        <v>45</v>
      </c>
      <c r="G119" s="7" t="s">
        <v>46</v>
      </c>
      <c r="H119" s="2">
        <v>3</v>
      </c>
      <c r="I119" s="2">
        <v>149.99</v>
      </c>
      <c r="J119" s="7" t="s">
        <v>34</v>
      </c>
      <c r="K119" s="7" t="s">
        <v>63</v>
      </c>
      <c r="L119" s="7" t="s">
        <v>22</v>
      </c>
      <c r="M119" s="8">
        <v>44886</v>
      </c>
      <c r="N119" s="5">
        <f t="shared" si="6"/>
        <v>449.97</v>
      </c>
      <c r="O119" s="7" t="str">
        <f>TEXT(Data!$B119,"mmm")</f>
        <v>Sep</v>
      </c>
      <c r="P119" s="9">
        <f>YEAR(Data!$B119)</f>
        <v>2024</v>
      </c>
      <c r="Q119" s="10">
        <f t="shared" ca="1" si="4"/>
        <v>46122.659248495373</v>
      </c>
      <c r="R119" s="20"/>
      <c r="S119" s="36" t="str">
        <f t="shared" si="7"/>
        <v>Normal</v>
      </c>
      <c r="T119" s="27"/>
      <c r="AH119" t="str">
        <f t="shared" si="5"/>
        <v>Lin</v>
      </c>
    </row>
    <row r="120" spans="1:34" ht="15" thickBot="1">
      <c r="A120" s="19" t="s">
        <v>257</v>
      </c>
      <c r="B120" s="4">
        <v>45563</v>
      </c>
      <c r="C120" s="3" t="s">
        <v>99</v>
      </c>
      <c r="D120" s="3" t="s">
        <v>100</v>
      </c>
      <c r="E120" s="3" t="s">
        <v>105</v>
      </c>
      <c r="F120" s="3" t="s">
        <v>106</v>
      </c>
      <c r="G120" s="3" t="s">
        <v>46</v>
      </c>
      <c r="H120" s="5">
        <v>2</v>
      </c>
      <c r="I120" s="5">
        <v>299.99</v>
      </c>
      <c r="J120" s="3" t="s">
        <v>57</v>
      </c>
      <c r="K120" s="3" t="s">
        <v>21</v>
      </c>
      <c r="L120" s="3" t="s">
        <v>22</v>
      </c>
      <c r="M120" s="4">
        <v>44569</v>
      </c>
      <c r="N120" s="5">
        <f t="shared" si="6"/>
        <v>599.98</v>
      </c>
      <c r="O120" s="3" t="str">
        <f>TEXT(Data!$B120,"mmm")</f>
        <v>Sep</v>
      </c>
      <c r="P120" s="11">
        <f>YEAR(Data!$B120)</f>
        <v>2024</v>
      </c>
      <c r="Q120" s="12">
        <f t="shared" ca="1" si="4"/>
        <v>46122.659248495373</v>
      </c>
      <c r="R120" s="21"/>
      <c r="S120" s="19" t="str">
        <f t="shared" si="7"/>
        <v>Normal</v>
      </c>
      <c r="T120" s="26"/>
      <c r="AH120" t="str">
        <f t="shared" si="5"/>
        <v>Pat</v>
      </c>
    </row>
    <row r="121" spans="1:34" ht="15" thickBot="1">
      <c r="A121" s="22" t="s">
        <v>258</v>
      </c>
      <c r="B121" s="8">
        <v>45564</v>
      </c>
      <c r="C121" s="7" t="s">
        <v>259</v>
      </c>
      <c r="D121" s="7" t="s">
        <v>260</v>
      </c>
      <c r="E121" s="7" t="s">
        <v>126</v>
      </c>
      <c r="F121" s="7" t="s">
        <v>127</v>
      </c>
      <c r="G121" s="7" t="s">
        <v>46</v>
      </c>
      <c r="H121" s="2">
        <v>1</v>
      </c>
      <c r="I121" s="2">
        <v>199.99</v>
      </c>
      <c r="J121" s="7" t="s">
        <v>57</v>
      </c>
      <c r="K121" s="7" t="s">
        <v>63</v>
      </c>
      <c r="L121" s="7" t="s">
        <v>36</v>
      </c>
      <c r="M121" s="8">
        <v>44953</v>
      </c>
      <c r="N121" s="5">
        <f t="shared" si="6"/>
        <v>199.99</v>
      </c>
      <c r="O121" s="7" t="str">
        <f>TEXT(Data!$B121,"mmm")</f>
        <v>Sep</v>
      </c>
      <c r="P121" s="9">
        <f>YEAR(Data!$B121)</f>
        <v>2024</v>
      </c>
      <c r="Q121" s="10">
        <f t="shared" ca="1" si="4"/>
        <v>46122.659248495373</v>
      </c>
      <c r="R121" s="20"/>
      <c r="S121" s="36" t="str">
        <f t="shared" si="7"/>
        <v>Normal</v>
      </c>
      <c r="T121" s="27"/>
      <c r="AH121" t="str">
        <f t="shared" si="5"/>
        <v>Ric</v>
      </c>
    </row>
    <row r="122" spans="1:34" ht="15" thickBot="1">
      <c r="A122" s="19" t="s">
        <v>261</v>
      </c>
      <c r="B122" s="4">
        <v>45566</v>
      </c>
      <c r="C122" s="3" t="s">
        <v>42</v>
      </c>
      <c r="D122" s="3" t="s">
        <v>43</v>
      </c>
      <c r="E122" s="3" t="s">
        <v>105</v>
      </c>
      <c r="F122" s="3" t="s">
        <v>106</v>
      </c>
      <c r="G122" s="3" t="s">
        <v>46</v>
      </c>
      <c r="H122" s="5">
        <v>4</v>
      </c>
      <c r="I122" s="5">
        <v>299.99</v>
      </c>
      <c r="J122" s="3" t="s">
        <v>20</v>
      </c>
      <c r="K122" s="3" t="s">
        <v>21</v>
      </c>
      <c r="L122" s="3" t="s">
        <v>27</v>
      </c>
      <c r="M122" s="4">
        <v>44460</v>
      </c>
      <c r="N122" s="5">
        <f t="shared" si="6"/>
        <v>1199.96</v>
      </c>
      <c r="O122" s="3" t="str">
        <f>TEXT(Data!$B122,"mmm")</f>
        <v>Oct</v>
      </c>
      <c r="P122" s="11">
        <f>YEAR(Data!$B122)</f>
        <v>2024</v>
      </c>
      <c r="Q122" s="12">
        <f t="shared" ca="1" si="4"/>
        <v>46122.659248495373</v>
      </c>
      <c r="R122" s="21"/>
      <c r="S122" s="19" t="str">
        <f t="shared" si="7"/>
        <v>Normal</v>
      </c>
      <c r="T122" s="26"/>
      <c r="AH122" t="str">
        <f t="shared" si="5"/>
        <v>Mic</v>
      </c>
    </row>
    <row r="123" spans="1:34" ht="15" thickBot="1">
      <c r="A123" s="22" t="s">
        <v>262</v>
      </c>
      <c r="B123" s="8">
        <v>45572</v>
      </c>
      <c r="C123" s="7" t="s">
        <v>89</v>
      </c>
      <c r="D123" s="7" t="s">
        <v>90</v>
      </c>
      <c r="E123" s="7" t="s">
        <v>31</v>
      </c>
      <c r="F123" s="7" t="s">
        <v>32</v>
      </c>
      <c r="G123" s="7" t="s">
        <v>33</v>
      </c>
      <c r="H123" s="2">
        <v>2</v>
      </c>
      <c r="I123" s="2">
        <v>59.99</v>
      </c>
      <c r="J123" s="7" t="s">
        <v>26</v>
      </c>
      <c r="K123" s="7" t="s">
        <v>21</v>
      </c>
      <c r="L123" s="7" t="s">
        <v>22</v>
      </c>
      <c r="M123" s="8">
        <v>44579</v>
      </c>
      <c r="N123" s="5">
        <f t="shared" si="6"/>
        <v>119.98</v>
      </c>
      <c r="O123" s="7" t="str">
        <f>TEXT(Data!$B123,"mmm")</f>
        <v>Oct</v>
      </c>
      <c r="P123" s="9">
        <f>YEAR(Data!$B123)</f>
        <v>2024</v>
      </c>
      <c r="Q123" s="10">
        <f t="shared" ca="1" si="4"/>
        <v>46122.659248495373</v>
      </c>
      <c r="R123" s="20"/>
      <c r="S123" s="36" t="str">
        <f t="shared" si="7"/>
        <v>Normal</v>
      </c>
      <c r="T123" s="27"/>
      <c r="AH123" t="str">
        <f t="shared" si="5"/>
        <v>Mar</v>
      </c>
    </row>
    <row r="124" spans="1:34" ht="15" thickBot="1">
      <c r="A124" s="19" t="s">
        <v>263</v>
      </c>
      <c r="B124" s="4">
        <v>45572</v>
      </c>
      <c r="C124" s="3" t="s">
        <v>234</v>
      </c>
      <c r="D124" s="3" t="s">
        <v>235</v>
      </c>
      <c r="E124" s="3" t="s">
        <v>52</v>
      </c>
      <c r="F124" s="3" t="s">
        <v>53</v>
      </c>
      <c r="G124" s="3" t="s">
        <v>19</v>
      </c>
      <c r="H124" s="5">
        <v>4</v>
      </c>
      <c r="I124" s="5">
        <v>149.99</v>
      </c>
      <c r="J124" s="3" t="s">
        <v>26</v>
      </c>
      <c r="K124" s="3" t="s">
        <v>40</v>
      </c>
      <c r="L124" s="3" t="s">
        <v>27</v>
      </c>
      <c r="M124" s="4">
        <v>45076</v>
      </c>
      <c r="N124" s="5">
        <f t="shared" si="6"/>
        <v>599.96</v>
      </c>
      <c r="O124" s="3" t="str">
        <f>TEXT(Data!$B124,"mmm")</f>
        <v>Oct</v>
      </c>
      <c r="P124" s="11">
        <f>YEAR(Data!$B124)</f>
        <v>2024</v>
      </c>
      <c r="Q124" s="12">
        <f t="shared" ca="1" si="4"/>
        <v>46122.659248495373</v>
      </c>
      <c r="R124" s="21"/>
      <c r="S124" s="19" t="str">
        <f t="shared" si="7"/>
        <v>Normal</v>
      </c>
      <c r="T124" s="26"/>
      <c r="AH124" t="str">
        <f t="shared" si="5"/>
        <v>San</v>
      </c>
    </row>
    <row r="125" spans="1:34" ht="15" thickBot="1">
      <c r="A125" s="22" t="s">
        <v>264</v>
      </c>
      <c r="B125" s="8">
        <v>45573</v>
      </c>
      <c r="C125" s="7" t="s">
        <v>211</v>
      </c>
      <c r="D125" s="7" t="s">
        <v>212</v>
      </c>
      <c r="E125" s="7" t="s">
        <v>80</v>
      </c>
      <c r="F125" s="7" t="s">
        <v>81</v>
      </c>
      <c r="G125" s="7" t="s">
        <v>19</v>
      </c>
      <c r="H125" s="2">
        <v>2</v>
      </c>
      <c r="I125" s="2">
        <v>699.99</v>
      </c>
      <c r="J125" s="7" t="s">
        <v>57</v>
      </c>
      <c r="K125" s="7" t="s">
        <v>63</v>
      </c>
      <c r="L125" s="7" t="s">
        <v>27</v>
      </c>
      <c r="M125" s="8">
        <v>45274</v>
      </c>
      <c r="N125" s="5">
        <f t="shared" si="6"/>
        <v>1399.98</v>
      </c>
      <c r="O125" s="7" t="str">
        <f>TEXT(Data!$B125,"mmm")</f>
        <v>Oct</v>
      </c>
      <c r="P125" s="9">
        <f>YEAR(Data!$B125)</f>
        <v>2024</v>
      </c>
      <c r="Q125" s="10">
        <f t="shared" ca="1" si="4"/>
        <v>46122.659248495373</v>
      </c>
      <c r="R125" s="20"/>
      <c r="S125" s="36" t="str">
        <f t="shared" si="7"/>
        <v>Normal</v>
      </c>
      <c r="T125" s="27"/>
      <c r="AH125" t="str">
        <f t="shared" si="5"/>
        <v>Eli</v>
      </c>
    </row>
    <row r="126" spans="1:34" ht="15" thickBot="1">
      <c r="A126" s="19" t="s">
        <v>265</v>
      </c>
      <c r="B126" s="4">
        <v>45573</v>
      </c>
      <c r="C126" s="3" t="s">
        <v>231</v>
      </c>
      <c r="D126" s="3" t="s">
        <v>232</v>
      </c>
      <c r="E126" s="3" t="s">
        <v>44</v>
      </c>
      <c r="F126" s="3" t="s">
        <v>45</v>
      </c>
      <c r="G126" s="3" t="s">
        <v>46</v>
      </c>
      <c r="H126" s="5">
        <v>3</v>
      </c>
      <c r="I126" s="5">
        <v>149.99</v>
      </c>
      <c r="J126" s="3" t="s">
        <v>26</v>
      </c>
      <c r="K126" s="3" t="s">
        <v>35</v>
      </c>
      <c r="L126" s="3" t="s">
        <v>36</v>
      </c>
      <c r="M126" s="4">
        <v>44940</v>
      </c>
      <c r="N126" s="5">
        <f t="shared" si="6"/>
        <v>449.97</v>
      </c>
      <c r="O126" s="3" t="str">
        <f>TEXT(Data!$B126,"mmm")</f>
        <v>Oct</v>
      </c>
      <c r="P126" s="11">
        <f>YEAR(Data!$B126)</f>
        <v>2024</v>
      </c>
      <c r="Q126" s="12">
        <f t="shared" ca="1" si="4"/>
        <v>46122.659248495373</v>
      </c>
      <c r="R126" s="21"/>
      <c r="S126" s="19" t="str">
        <f t="shared" si="7"/>
        <v>Normal</v>
      </c>
      <c r="T126" s="26"/>
      <c r="AH126" t="str">
        <f t="shared" si="5"/>
        <v>Car</v>
      </c>
    </row>
    <row r="127" spans="1:34" ht="15" thickBot="1">
      <c r="A127" s="22" t="s">
        <v>266</v>
      </c>
      <c r="B127" s="8">
        <v>45576</v>
      </c>
      <c r="C127" s="7" t="s">
        <v>147</v>
      </c>
      <c r="D127" s="7" t="s">
        <v>148</v>
      </c>
      <c r="E127" s="7" t="s">
        <v>105</v>
      </c>
      <c r="F127" s="7" t="s">
        <v>106</v>
      </c>
      <c r="G127" s="7" t="s">
        <v>46</v>
      </c>
      <c r="H127" s="2">
        <v>3</v>
      </c>
      <c r="I127" s="2">
        <v>299.99</v>
      </c>
      <c r="J127" s="7" t="s">
        <v>26</v>
      </c>
      <c r="K127" s="7" t="s">
        <v>21</v>
      </c>
      <c r="L127" s="7" t="s">
        <v>36</v>
      </c>
      <c r="M127" s="8">
        <v>45174</v>
      </c>
      <c r="N127" s="5">
        <f t="shared" si="6"/>
        <v>899.97</v>
      </c>
      <c r="O127" s="7" t="str">
        <f>TEXT(Data!$B127,"mmm")</f>
        <v>Oct</v>
      </c>
      <c r="P127" s="9">
        <f>YEAR(Data!$B127)</f>
        <v>2024</v>
      </c>
      <c r="Q127" s="10">
        <f t="shared" ca="1" si="4"/>
        <v>46122.659248495373</v>
      </c>
      <c r="R127" s="20"/>
      <c r="S127" s="36" t="str">
        <f t="shared" si="7"/>
        <v>Normal</v>
      </c>
      <c r="T127" s="27"/>
      <c r="AH127" t="str">
        <f t="shared" si="5"/>
        <v>Dan</v>
      </c>
    </row>
    <row r="128" spans="1:34" ht="15" thickBot="1">
      <c r="A128" s="19" t="s">
        <v>267</v>
      </c>
      <c r="B128" s="4">
        <v>45579</v>
      </c>
      <c r="C128" s="3" t="s">
        <v>83</v>
      </c>
      <c r="D128" s="3" t="s">
        <v>84</v>
      </c>
      <c r="E128" s="3" t="s">
        <v>61</v>
      </c>
      <c r="F128" s="3" t="s">
        <v>62</v>
      </c>
      <c r="G128" s="3" t="s">
        <v>19</v>
      </c>
      <c r="H128" s="5">
        <v>3</v>
      </c>
      <c r="I128" s="5">
        <v>899.99</v>
      </c>
      <c r="J128" s="3" t="s">
        <v>34</v>
      </c>
      <c r="K128" s="3" t="s">
        <v>50</v>
      </c>
      <c r="L128" s="3" t="s">
        <v>22</v>
      </c>
      <c r="M128" s="4">
        <v>45215</v>
      </c>
      <c r="N128" s="5">
        <f t="shared" si="6"/>
        <v>2699.9700000000003</v>
      </c>
      <c r="O128" s="3" t="str">
        <f>TEXT(Data!$B128,"mmm")</f>
        <v>Oct</v>
      </c>
      <c r="P128" s="11">
        <f>YEAR(Data!$B128)</f>
        <v>2024</v>
      </c>
      <c r="Q128" s="12">
        <f t="shared" ca="1" si="4"/>
        <v>46122.659248495373</v>
      </c>
      <c r="R128" s="21"/>
      <c r="S128" s="19" t="str">
        <f t="shared" si="7"/>
        <v>High Value</v>
      </c>
      <c r="T128" s="26"/>
      <c r="AH128" t="str">
        <f t="shared" si="5"/>
        <v>Geo</v>
      </c>
    </row>
    <row r="129" spans="1:34" ht="15" thickBot="1">
      <c r="A129" s="22" t="s">
        <v>268</v>
      </c>
      <c r="B129" s="8">
        <v>45581</v>
      </c>
      <c r="C129" s="7" t="s">
        <v>96</v>
      </c>
      <c r="D129" s="7" t="s">
        <v>97</v>
      </c>
      <c r="E129" s="7" t="s">
        <v>80</v>
      </c>
      <c r="F129" s="7" t="s">
        <v>81</v>
      </c>
      <c r="G129" s="7" t="s">
        <v>19</v>
      </c>
      <c r="H129" s="2">
        <v>5</v>
      </c>
      <c r="I129" s="2">
        <v>699.99</v>
      </c>
      <c r="J129" s="7" t="s">
        <v>20</v>
      </c>
      <c r="K129" s="7" t="s">
        <v>63</v>
      </c>
      <c r="L129" s="7" t="s">
        <v>36</v>
      </c>
      <c r="M129" s="8">
        <v>45008</v>
      </c>
      <c r="N129" s="5">
        <f t="shared" si="6"/>
        <v>3499.95</v>
      </c>
      <c r="O129" s="7" t="str">
        <f>TEXT(Data!$B129,"mmm")</f>
        <v>Oct</v>
      </c>
      <c r="P129" s="9">
        <f>YEAR(Data!$B129)</f>
        <v>2024</v>
      </c>
      <c r="Q129" s="10">
        <f t="shared" ca="1" si="4"/>
        <v>46122.659248495373</v>
      </c>
      <c r="R129" s="20"/>
      <c r="S129" s="36" t="str">
        <f t="shared" si="7"/>
        <v>High Value</v>
      </c>
      <c r="T129" s="27"/>
      <c r="AH129" t="str">
        <f t="shared" si="5"/>
        <v>Bar</v>
      </c>
    </row>
    <row r="130" spans="1:34" ht="15" thickBot="1">
      <c r="A130" s="19" t="s">
        <v>269</v>
      </c>
      <c r="B130" s="4">
        <v>45581</v>
      </c>
      <c r="C130" s="3" t="s">
        <v>171</v>
      </c>
      <c r="D130" s="3" t="s">
        <v>172</v>
      </c>
      <c r="E130" s="3" t="s">
        <v>80</v>
      </c>
      <c r="F130" s="3" t="s">
        <v>81</v>
      </c>
      <c r="G130" s="3" t="s">
        <v>19</v>
      </c>
      <c r="H130" s="5">
        <v>4</v>
      </c>
      <c r="I130" s="5">
        <v>699.99</v>
      </c>
      <c r="J130" s="3" t="s">
        <v>26</v>
      </c>
      <c r="K130" s="3" t="s">
        <v>21</v>
      </c>
      <c r="L130" s="3" t="s">
        <v>22</v>
      </c>
      <c r="M130" s="4">
        <v>45385</v>
      </c>
      <c r="N130" s="5">
        <f t="shared" si="6"/>
        <v>2799.96</v>
      </c>
      <c r="O130" s="3" t="str">
        <f>TEXT(Data!$B130,"mmm")</f>
        <v>Oct</v>
      </c>
      <c r="P130" s="11">
        <f>YEAR(Data!$B130)</f>
        <v>2024</v>
      </c>
      <c r="Q130" s="12">
        <f t="shared" ref="Q130:Q193" ca="1" si="8">NOW()</f>
        <v>46122.659248495373</v>
      </c>
      <c r="R130" s="21"/>
      <c r="S130" s="19" t="str">
        <f t="shared" si="7"/>
        <v>High Value</v>
      </c>
      <c r="T130" s="26"/>
      <c r="AH130" t="str">
        <f t="shared" ref="AH130:AH193" si="9">LEFT(D130,3)</f>
        <v>Ray</v>
      </c>
    </row>
    <row r="131" spans="1:34" ht="15" thickBot="1">
      <c r="A131" s="22" t="s">
        <v>270</v>
      </c>
      <c r="B131" s="8">
        <v>45581</v>
      </c>
      <c r="C131" s="7" t="s">
        <v>150</v>
      </c>
      <c r="D131" s="7" t="s">
        <v>151</v>
      </c>
      <c r="E131" s="7" t="s">
        <v>61</v>
      </c>
      <c r="F131" s="7" t="s">
        <v>62</v>
      </c>
      <c r="G131" s="7" t="s">
        <v>19</v>
      </c>
      <c r="H131" s="2">
        <v>1</v>
      </c>
      <c r="I131" s="2">
        <v>899.99</v>
      </c>
      <c r="J131" s="7" t="s">
        <v>26</v>
      </c>
      <c r="K131" s="7" t="s">
        <v>63</v>
      </c>
      <c r="L131" s="7" t="s">
        <v>36</v>
      </c>
      <c r="M131" s="8">
        <v>45369</v>
      </c>
      <c r="N131" s="5">
        <f t="shared" ref="N131:N194" si="10">H131*I131</f>
        <v>899.99</v>
      </c>
      <c r="O131" s="7" t="str">
        <f>TEXT(Data!$B131,"mmm")</f>
        <v>Oct</v>
      </c>
      <c r="P131" s="9">
        <f>YEAR(Data!$B131)</f>
        <v>2024</v>
      </c>
      <c r="Q131" s="10">
        <f t="shared" ca="1" si="8"/>
        <v>46122.659248495373</v>
      </c>
      <c r="R131" s="20"/>
      <c r="S131" s="36" t="str">
        <f t="shared" ref="S131:S194" si="11">IF(N131&gt;2000,"High Value","Normal")</f>
        <v>Normal</v>
      </c>
      <c r="T131" s="27"/>
      <c r="AH131" t="str">
        <f t="shared" si="9"/>
        <v>Sha</v>
      </c>
    </row>
    <row r="132" spans="1:34" ht="15" thickBot="1">
      <c r="A132" s="19" t="s">
        <v>271</v>
      </c>
      <c r="B132" s="4">
        <v>45583</v>
      </c>
      <c r="C132" s="3" t="s">
        <v>226</v>
      </c>
      <c r="D132" s="3" t="s">
        <v>227</v>
      </c>
      <c r="E132" s="3" t="s">
        <v>52</v>
      </c>
      <c r="F132" s="3" t="s">
        <v>53</v>
      </c>
      <c r="G132" s="3" t="s">
        <v>19</v>
      </c>
      <c r="H132" s="5">
        <v>2</v>
      </c>
      <c r="I132" s="5">
        <v>149.99</v>
      </c>
      <c r="J132" s="3" t="s">
        <v>26</v>
      </c>
      <c r="K132" s="3" t="s">
        <v>50</v>
      </c>
      <c r="L132" s="3" t="s">
        <v>22</v>
      </c>
      <c r="M132" s="4">
        <v>44916</v>
      </c>
      <c r="N132" s="5">
        <f t="shared" si="10"/>
        <v>299.98</v>
      </c>
      <c r="O132" s="3" t="str">
        <f>TEXT(Data!$B132,"mmm")</f>
        <v>Oct</v>
      </c>
      <c r="P132" s="11">
        <f>YEAR(Data!$B132)</f>
        <v>2024</v>
      </c>
      <c r="Q132" s="12">
        <f t="shared" ca="1" si="8"/>
        <v>46122.659248495373</v>
      </c>
      <c r="R132" s="21"/>
      <c r="S132" s="19" t="str">
        <f t="shared" si="11"/>
        <v>Normal</v>
      </c>
      <c r="T132" s="26"/>
      <c r="AH132" t="str">
        <f t="shared" si="9"/>
        <v>Law</v>
      </c>
    </row>
    <row r="133" spans="1:34" ht="15" thickBot="1">
      <c r="A133" s="22" t="s">
        <v>272</v>
      </c>
      <c r="B133" s="8">
        <v>45586</v>
      </c>
      <c r="C133" s="7" t="s">
        <v>226</v>
      </c>
      <c r="D133" s="7" t="s">
        <v>227</v>
      </c>
      <c r="E133" s="7" t="s">
        <v>117</v>
      </c>
      <c r="F133" s="7" t="s">
        <v>118</v>
      </c>
      <c r="G133" s="7" t="s">
        <v>19</v>
      </c>
      <c r="H133" s="2">
        <v>3</v>
      </c>
      <c r="I133" s="2">
        <v>89.99</v>
      </c>
      <c r="J133" s="7" t="s">
        <v>34</v>
      </c>
      <c r="K133" s="7" t="s">
        <v>21</v>
      </c>
      <c r="L133" s="7" t="s">
        <v>22</v>
      </c>
      <c r="M133" s="8">
        <v>44551</v>
      </c>
      <c r="N133" s="5">
        <f t="shared" si="10"/>
        <v>269.96999999999997</v>
      </c>
      <c r="O133" s="7" t="str">
        <f>TEXT(Data!$B133,"mmm")</f>
        <v>Oct</v>
      </c>
      <c r="P133" s="9">
        <f>YEAR(Data!$B133)</f>
        <v>2024</v>
      </c>
      <c r="Q133" s="10">
        <f t="shared" ca="1" si="8"/>
        <v>46122.659248495373</v>
      </c>
      <c r="R133" s="20"/>
      <c r="S133" s="36" t="str">
        <f t="shared" si="11"/>
        <v>Normal</v>
      </c>
      <c r="T133" s="27"/>
      <c r="AH133" t="str">
        <f t="shared" si="9"/>
        <v>Law</v>
      </c>
    </row>
    <row r="134" spans="1:34" ht="15" thickBot="1">
      <c r="A134" s="19" t="s">
        <v>273</v>
      </c>
      <c r="B134" s="4">
        <v>45588</v>
      </c>
      <c r="C134" s="3" t="s">
        <v>38</v>
      </c>
      <c r="D134" s="3" t="s">
        <v>39</v>
      </c>
      <c r="E134" s="3" t="s">
        <v>52</v>
      </c>
      <c r="F134" s="3" t="s">
        <v>53</v>
      </c>
      <c r="G134" s="3" t="s">
        <v>19</v>
      </c>
      <c r="H134" s="5">
        <v>2</v>
      </c>
      <c r="I134" s="5">
        <v>149.99</v>
      </c>
      <c r="J134" s="3" t="s">
        <v>34</v>
      </c>
      <c r="K134" s="3" t="s">
        <v>21</v>
      </c>
      <c r="L134" s="3" t="s">
        <v>22</v>
      </c>
      <c r="M134" s="4">
        <v>44473</v>
      </c>
      <c r="N134" s="5">
        <f t="shared" si="10"/>
        <v>299.98</v>
      </c>
      <c r="O134" s="3" t="str">
        <f>TEXT(Data!$B134,"mmm")</f>
        <v>Oct</v>
      </c>
      <c r="P134" s="11">
        <f>YEAR(Data!$B134)</f>
        <v>2024</v>
      </c>
      <c r="Q134" s="12">
        <f t="shared" ca="1" si="8"/>
        <v>46122.659248495373</v>
      </c>
      <c r="R134" s="21"/>
      <c r="S134" s="19" t="str">
        <f t="shared" si="11"/>
        <v>Normal</v>
      </c>
      <c r="T134" s="26"/>
      <c r="AH134" t="str">
        <f t="shared" si="9"/>
        <v>Kat</v>
      </c>
    </row>
    <row r="135" spans="1:34" ht="15" thickBot="1">
      <c r="A135" s="22" t="s">
        <v>274</v>
      </c>
      <c r="B135" s="8">
        <v>45588</v>
      </c>
      <c r="C135" s="7" t="s">
        <v>154</v>
      </c>
      <c r="D135" s="7" t="s">
        <v>155</v>
      </c>
      <c r="E135" s="7" t="s">
        <v>80</v>
      </c>
      <c r="F135" s="7" t="s">
        <v>81</v>
      </c>
      <c r="G135" s="7" t="s">
        <v>19</v>
      </c>
      <c r="H135" s="2">
        <v>2</v>
      </c>
      <c r="I135" s="2">
        <v>699.99</v>
      </c>
      <c r="J135" s="7" t="s">
        <v>20</v>
      </c>
      <c r="K135" s="7" t="s">
        <v>21</v>
      </c>
      <c r="L135" s="7" t="s">
        <v>22</v>
      </c>
      <c r="M135" s="8">
        <v>44992</v>
      </c>
      <c r="N135" s="5">
        <f t="shared" si="10"/>
        <v>1399.98</v>
      </c>
      <c r="O135" s="7" t="str">
        <f>TEXT(Data!$B135,"mmm")</f>
        <v>Oct</v>
      </c>
      <c r="P135" s="9">
        <f>YEAR(Data!$B135)</f>
        <v>2024</v>
      </c>
      <c r="Q135" s="10">
        <f t="shared" ca="1" si="8"/>
        <v>46122.659248495373</v>
      </c>
      <c r="R135" s="20"/>
      <c r="S135" s="36" t="str">
        <f t="shared" si="11"/>
        <v>Normal</v>
      </c>
      <c r="T135" s="27"/>
      <c r="AH135" t="str">
        <f t="shared" si="9"/>
        <v>Sar</v>
      </c>
    </row>
    <row r="136" spans="1:34" ht="15" thickBot="1">
      <c r="A136" s="19" t="s">
        <v>275</v>
      </c>
      <c r="B136" s="4">
        <v>45589</v>
      </c>
      <c r="C136" s="3" t="s">
        <v>158</v>
      </c>
      <c r="D136" s="3" t="s">
        <v>159</v>
      </c>
      <c r="E136" s="3" t="s">
        <v>80</v>
      </c>
      <c r="F136" s="3" t="s">
        <v>81</v>
      </c>
      <c r="G136" s="3" t="s">
        <v>19</v>
      </c>
      <c r="H136" s="5">
        <v>5</v>
      </c>
      <c r="I136" s="5">
        <v>699.99</v>
      </c>
      <c r="J136" s="3" t="s">
        <v>20</v>
      </c>
      <c r="K136" s="3" t="s">
        <v>40</v>
      </c>
      <c r="L136" s="3" t="s">
        <v>27</v>
      </c>
      <c r="M136" s="4">
        <v>44635</v>
      </c>
      <c r="N136" s="5">
        <f t="shared" si="10"/>
        <v>3499.95</v>
      </c>
      <c r="O136" s="3" t="str">
        <f>TEXT(Data!$B136,"mmm")</f>
        <v>Oct</v>
      </c>
      <c r="P136" s="11">
        <f>YEAR(Data!$B136)</f>
        <v>2024</v>
      </c>
      <c r="Q136" s="12">
        <f t="shared" ca="1" si="8"/>
        <v>46122.659248495373</v>
      </c>
      <c r="R136" s="21"/>
      <c r="S136" s="19" t="str">
        <f t="shared" si="11"/>
        <v>High Value</v>
      </c>
      <c r="T136" s="26"/>
      <c r="AH136" t="str">
        <f t="shared" si="9"/>
        <v>Bet</v>
      </c>
    </row>
    <row r="137" spans="1:34" ht="15" thickBot="1">
      <c r="A137" s="22" t="s">
        <v>276</v>
      </c>
      <c r="B137" s="8">
        <v>45592</v>
      </c>
      <c r="C137" s="7" t="s">
        <v>171</v>
      </c>
      <c r="D137" s="7" t="s">
        <v>172</v>
      </c>
      <c r="E137" s="7" t="s">
        <v>117</v>
      </c>
      <c r="F137" s="7" t="s">
        <v>118</v>
      </c>
      <c r="G137" s="7" t="s">
        <v>19</v>
      </c>
      <c r="H137" s="2">
        <v>3</v>
      </c>
      <c r="I137" s="2">
        <v>89.99</v>
      </c>
      <c r="J137" s="7" t="s">
        <v>26</v>
      </c>
      <c r="K137" s="7" t="s">
        <v>40</v>
      </c>
      <c r="L137" s="7" t="s">
        <v>36</v>
      </c>
      <c r="M137" s="8">
        <v>44615</v>
      </c>
      <c r="N137" s="5">
        <f t="shared" si="10"/>
        <v>269.96999999999997</v>
      </c>
      <c r="O137" s="7" t="str">
        <f>TEXT(Data!$B137,"mmm")</f>
        <v>Oct</v>
      </c>
      <c r="P137" s="9">
        <f>YEAR(Data!$B137)</f>
        <v>2024</v>
      </c>
      <c r="Q137" s="10">
        <f t="shared" ca="1" si="8"/>
        <v>46122.659248495373</v>
      </c>
      <c r="R137" s="20"/>
      <c r="S137" s="36" t="str">
        <f t="shared" si="11"/>
        <v>Normal</v>
      </c>
      <c r="T137" s="27"/>
      <c r="AH137" t="str">
        <f t="shared" si="9"/>
        <v>Ray</v>
      </c>
    </row>
    <row r="138" spans="1:34" ht="15" thickBot="1">
      <c r="A138" s="19" t="s">
        <v>277</v>
      </c>
      <c r="B138" s="4">
        <v>45597</v>
      </c>
      <c r="C138" s="3" t="s">
        <v>15</v>
      </c>
      <c r="D138" s="3" t="s">
        <v>16</v>
      </c>
      <c r="E138" s="3" t="s">
        <v>17</v>
      </c>
      <c r="F138" s="3" t="s">
        <v>18</v>
      </c>
      <c r="G138" s="3" t="s">
        <v>19</v>
      </c>
      <c r="H138" s="5">
        <v>5</v>
      </c>
      <c r="I138" s="5">
        <v>249.99</v>
      </c>
      <c r="J138" s="3" t="s">
        <v>26</v>
      </c>
      <c r="K138" s="3" t="s">
        <v>35</v>
      </c>
      <c r="L138" s="3" t="s">
        <v>36</v>
      </c>
      <c r="M138" s="4">
        <v>44881</v>
      </c>
      <c r="N138" s="5">
        <f t="shared" si="10"/>
        <v>1249.95</v>
      </c>
      <c r="O138" s="3" t="str">
        <f>TEXT(Data!$B138,"mmm")</f>
        <v>Nov</v>
      </c>
      <c r="P138" s="11">
        <f>YEAR(Data!$B138)</f>
        <v>2024</v>
      </c>
      <c r="Q138" s="12">
        <f t="shared" ca="1" si="8"/>
        <v>46122.659248495373</v>
      </c>
      <c r="R138" s="21"/>
      <c r="S138" s="19" t="str">
        <f t="shared" si="11"/>
        <v>Normal</v>
      </c>
      <c r="T138" s="26"/>
      <c r="AH138" t="str">
        <f t="shared" si="9"/>
        <v>Pau</v>
      </c>
    </row>
    <row r="139" spans="1:34" ht="15" thickBot="1">
      <c r="A139" s="22" t="s">
        <v>278</v>
      </c>
      <c r="B139" s="8">
        <v>45600</v>
      </c>
      <c r="C139" s="7" t="s">
        <v>65</v>
      </c>
      <c r="D139" s="7" t="s">
        <v>66</v>
      </c>
      <c r="E139" s="7" t="s">
        <v>105</v>
      </c>
      <c r="F139" s="7" t="s">
        <v>106</v>
      </c>
      <c r="G139" s="7" t="s">
        <v>46</v>
      </c>
      <c r="H139" s="2">
        <v>3</v>
      </c>
      <c r="I139" s="2">
        <v>299.99</v>
      </c>
      <c r="J139" s="7" t="s">
        <v>26</v>
      </c>
      <c r="K139" s="7" t="s">
        <v>35</v>
      </c>
      <c r="L139" s="7" t="s">
        <v>36</v>
      </c>
      <c r="M139" s="8">
        <v>44502</v>
      </c>
      <c r="N139" s="5">
        <f t="shared" si="10"/>
        <v>899.97</v>
      </c>
      <c r="O139" s="7" t="str">
        <f>TEXT(Data!$B139,"mmm")</f>
        <v>Nov</v>
      </c>
      <c r="P139" s="9">
        <f>YEAR(Data!$B139)</f>
        <v>2024</v>
      </c>
      <c r="Q139" s="10">
        <f t="shared" ca="1" si="8"/>
        <v>46122.659248495373</v>
      </c>
      <c r="R139" s="20"/>
      <c r="S139" s="36" t="str">
        <f t="shared" si="11"/>
        <v>Normal</v>
      </c>
      <c r="T139" s="27"/>
      <c r="AH139" t="str">
        <f t="shared" si="9"/>
        <v>Kar</v>
      </c>
    </row>
    <row r="140" spans="1:34" ht="15" thickBot="1">
      <c r="A140" s="19" t="s">
        <v>279</v>
      </c>
      <c r="B140" s="4">
        <v>45603</v>
      </c>
      <c r="C140" s="3" t="s">
        <v>99</v>
      </c>
      <c r="D140" s="3" t="s">
        <v>100</v>
      </c>
      <c r="E140" s="3" t="s">
        <v>117</v>
      </c>
      <c r="F140" s="3" t="s">
        <v>118</v>
      </c>
      <c r="G140" s="3" t="s">
        <v>19</v>
      </c>
      <c r="H140" s="5">
        <v>3</v>
      </c>
      <c r="I140" s="5">
        <v>89.99</v>
      </c>
      <c r="J140" s="3" t="s">
        <v>26</v>
      </c>
      <c r="K140" s="3" t="s">
        <v>40</v>
      </c>
      <c r="L140" s="3" t="s">
        <v>27</v>
      </c>
      <c r="M140" s="4">
        <v>44420</v>
      </c>
      <c r="N140" s="5">
        <f t="shared" si="10"/>
        <v>269.96999999999997</v>
      </c>
      <c r="O140" s="3" t="str">
        <f>TEXT(Data!$B140,"mmm")</f>
        <v>Nov</v>
      </c>
      <c r="P140" s="11">
        <f>YEAR(Data!$B140)</f>
        <v>2024</v>
      </c>
      <c r="Q140" s="12">
        <f t="shared" ca="1" si="8"/>
        <v>46122.659248495373</v>
      </c>
      <c r="R140" s="21"/>
      <c r="S140" s="19" t="str">
        <f t="shared" si="11"/>
        <v>Normal</v>
      </c>
      <c r="T140" s="26"/>
      <c r="AH140" t="str">
        <f t="shared" si="9"/>
        <v>Pat</v>
      </c>
    </row>
    <row r="141" spans="1:34" ht="15" thickBot="1">
      <c r="A141" s="22" t="s">
        <v>280</v>
      </c>
      <c r="B141" s="8">
        <v>45604</v>
      </c>
      <c r="C141" s="7" t="s">
        <v>89</v>
      </c>
      <c r="D141" s="7" t="s">
        <v>90</v>
      </c>
      <c r="E141" s="7" t="s">
        <v>44</v>
      </c>
      <c r="F141" s="7" t="s">
        <v>45</v>
      </c>
      <c r="G141" s="7" t="s">
        <v>46</v>
      </c>
      <c r="H141" s="2">
        <v>2</v>
      </c>
      <c r="I141" s="2">
        <v>149.99</v>
      </c>
      <c r="J141" s="7" t="s">
        <v>26</v>
      </c>
      <c r="K141" s="7" t="s">
        <v>50</v>
      </c>
      <c r="L141" s="7" t="s">
        <v>27</v>
      </c>
      <c r="M141" s="8">
        <v>44848</v>
      </c>
      <c r="N141" s="5">
        <f t="shared" si="10"/>
        <v>299.98</v>
      </c>
      <c r="O141" s="7" t="str">
        <f>TEXT(Data!$B141,"mmm")</f>
        <v>Nov</v>
      </c>
      <c r="P141" s="9">
        <f>YEAR(Data!$B141)</f>
        <v>2024</v>
      </c>
      <c r="Q141" s="10">
        <f t="shared" ca="1" si="8"/>
        <v>46122.659248495373</v>
      </c>
      <c r="R141" s="20"/>
      <c r="S141" s="36" t="str">
        <f t="shared" si="11"/>
        <v>Normal</v>
      </c>
      <c r="T141" s="27"/>
      <c r="AH141" t="str">
        <f t="shared" si="9"/>
        <v>Mar</v>
      </c>
    </row>
    <row r="142" spans="1:34" ht="15" thickBot="1">
      <c r="A142" s="19" t="s">
        <v>281</v>
      </c>
      <c r="B142" s="4">
        <v>45605</v>
      </c>
      <c r="C142" s="3" t="s">
        <v>185</v>
      </c>
      <c r="D142" s="3" t="s">
        <v>186</v>
      </c>
      <c r="E142" s="3" t="s">
        <v>17</v>
      </c>
      <c r="F142" s="3" t="s">
        <v>18</v>
      </c>
      <c r="G142" s="3" t="s">
        <v>19</v>
      </c>
      <c r="H142" s="5">
        <v>1</v>
      </c>
      <c r="I142" s="5">
        <v>249.99</v>
      </c>
      <c r="J142" s="3" t="s">
        <v>26</v>
      </c>
      <c r="K142" s="3" t="s">
        <v>40</v>
      </c>
      <c r="L142" s="3" t="s">
        <v>27</v>
      </c>
      <c r="M142" s="4">
        <v>44828</v>
      </c>
      <c r="N142" s="5">
        <f t="shared" si="10"/>
        <v>249.99</v>
      </c>
      <c r="O142" s="3" t="str">
        <f>TEXT(Data!$B142,"mmm")</f>
        <v>Nov</v>
      </c>
      <c r="P142" s="11">
        <f>YEAR(Data!$B142)</f>
        <v>2024</v>
      </c>
      <c r="Q142" s="12">
        <f t="shared" ca="1" si="8"/>
        <v>46122.659248495373</v>
      </c>
      <c r="R142" s="21"/>
      <c r="S142" s="19" t="str">
        <f t="shared" si="11"/>
        <v>Normal</v>
      </c>
      <c r="T142" s="26"/>
      <c r="AH142" t="str">
        <f t="shared" si="9"/>
        <v>Mar</v>
      </c>
    </row>
    <row r="143" spans="1:34" ht="15" thickBot="1">
      <c r="A143" s="22" t="s">
        <v>282</v>
      </c>
      <c r="B143" s="8">
        <v>45607</v>
      </c>
      <c r="C143" s="7" t="s">
        <v>72</v>
      </c>
      <c r="D143" s="7" t="s">
        <v>73</v>
      </c>
      <c r="E143" s="7" t="s">
        <v>52</v>
      </c>
      <c r="F143" s="7" t="s">
        <v>53</v>
      </c>
      <c r="G143" s="7" t="s">
        <v>19</v>
      </c>
      <c r="H143" s="2">
        <v>3</v>
      </c>
      <c r="I143" s="2">
        <v>149.99</v>
      </c>
      <c r="J143" s="7" t="s">
        <v>20</v>
      </c>
      <c r="K143" s="7" t="s">
        <v>40</v>
      </c>
      <c r="L143" s="7" t="s">
        <v>22</v>
      </c>
      <c r="M143" s="8">
        <v>44769</v>
      </c>
      <c r="N143" s="5">
        <f t="shared" si="10"/>
        <v>449.97</v>
      </c>
      <c r="O143" s="7" t="str">
        <f>TEXT(Data!$B143,"mmm")</f>
        <v>Nov</v>
      </c>
      <c r="P143" s="9">
        <f>YEAR(Data!$B143)</f>
        <v>2024</v>
      </c>
      <c r="Q143" s="10">
        <f t="shared" ca="1" si="8"/>
        <v>46122.659248495373</v>
      </c>
      <c r="R143" s="20"/>
      <c r="S143" s="36" t="str">
        <f t="shared" si="11"/>
        <v>Normal</v>
      </c>
      <c r="T143" s="27"/>
      <c r="AH143" t="str">
        <f t="shared" si="9"/>
        <v>Pet</v>
      </c>
    </row>
    <row r="144" spans="1:34" ht="15" thickBot="1">
      <c r="A144" s="19" t="s">
        <v>283</v>
      </c>
      <c r="B144" s="4">
        <v>45607</v>
      </c>
      <c r="C144" s="3" t="s">
        <v>15</v>
      </c>
      <c r="D144" s="3" t="s">
        <v>16</v>
      </c>
      <c r="E144" s="3" t="s">
        <v>31</v>
      </c>
      <c r="F144" s="3" t="s">
        <v>32</v>
      </c>
      <c r="G144" s="3" t="s">
        <v>33</v>
      </c>
      <c r="H144" s="5">
        <v>5</v>
      </c>
      <c r="I144" s="5">
        <v>59.99</v>
      </c>
      <c r="J144" s="3" t="s">
        <v>34</v>
      </c>
      <c r="K144" s="3" t="s">
        <v>50</v>
      </c>
      <c r="L144" s="3" t="s">
        <v>27</v>
      </c>
      <c r="M144" s="4">
        <v>44694</v>
      </c>
      <c r="N144" s="5">
        <f t="shared" si="10"/>
        <v>299.95</v>
      </c>
      <c r="O144" s="3" t="str">
        <f>TEXT(Data!$B144,"mmm")</f>
        <v>Nov</v>
      </c>
      <c r="P144" s="11">
        <f>YEAR(Data!$B144)</f>
        <v>2024</v>
      </c>
      <c r="Q144" s="12">
        <f t="shared" ca="1" si="8"/>
        <v>46122.659248495373</v>
      </c>
      <c r="R144" s="21"/>
      <c r="S144" s="19" t="str">
        <f t="shared" si="11"/>
        <v>Normal</v>
      </c>
      <c r="T144" s="26"/>
      <c r="AH144" t="str">
        <f t="shared" si="9"/>
        <v>Pau</v>
      </c>
    </row>
    <row r="145" spans="1:34" ht="15" thickBot="1">
      <c r="A145" s="22" t="s">
        <v>284</v>
      </c>
      <c r="B145" s="8">
        <v>45607</v>
      </c>
      <c r="C145" s="7" t="s">
        <v>99</v>
      </c>
      <c r="D145" s="7" t="s">
        <v>100</v>
      </c>
      <c r="E145" s="7" t="s">
        <v>17</v>
      </c>
      <c r="F145" s="7" t="s">
        <v>18</v>
      </c>
      <c r="G145" s="7" t="s">
        <v>19</v>
      </c>
      <c r="H145" s="2">
        <v>4</v>
      </c>
      <c r="I145" s="2">
        <v>249.99</v>
      </c>
      <c r="J145" s="7" t="s">
        <v>26</v>
      </c>
      <c r="K145" s="7" t="s">
        <v>50</v>
      </c>
      <c r="L145" s="7" t="s">
        <v>36</v>
      </c>
      <c r="M145" s="8">
        <v>44659</v>
      </c>
      <c r="N145" s="5">
        <f t="shared" si="10"/>
        <v>999.96</v>
      </c>
      <c r="O145" s="7" t="str">
        <f>TEXT(Data!$B145,"mmm")</f>
        <v>Nov</v>
      </c>
      <c r="P145" s="9">
        <f>YEAR(Data!$B145)</f>
        <v>2024</v>
      </c>
      <c r="Q145" s="10">
        <f t="shared" ca="1" si="8"/>
        <v>46122.659248495373</v>
      </c>
      <c r="R145" s="20"/>
      <c r="S145" s="36" t="str">
        <f t="shared" si="11"/>
        <v>Normal</v>
      </c>
      <c r="T145" s="27"/>
      <c r="AH145" t="str">
        <f t="shared" si="9"/>
        <v>Pat</v>
      </c>
    </row>
    <row r="146" spans="1:34" ht="15" thickBot="1">
      <c r="A146" s="19" t="s">
        <v>285</v>
      </c>
      <c r="B146" s="4">
        <v>45608</v>
      </c>
      <c r="C146" s="3" t="s">
        <v>154</v>
      </c>
      <c r="D146" s="3" t="s">
        <v>155</v>
      </c>
      <c r="E146" s="3" t="s">
        <v>44</v>
      </c>
      <c r="F146" s="3" t="s">
        <v>45</v>
      </c>
      <c r="G146" s="3" t="s">
        <v>46</v>
      </c>
      <c r="H146" s="5">
        <v>5</v>
      </c>
      <c r="I146" s="5">
        <v>149.99</v>
      </c>
      <c r="J146" s="3" t="s">
        <v>34</v>
      </c>
      <c r="K146" s="3" t="s">
        <v>21</v>
      </c>
      <c r="L146" s="3" t="s">
        <v>22</v>
      </c>
      <c r="M146" s="4">
        <v>44901</v>
      </c>
      <c r="N146" s="5">
        <f t="shared" si="10"/>
        <v>749.95</v>
      </c>
      <c r="O146" s="3" t="str">
        <f>TEXT(Data!$B146,"mmm")</f>
        <v>Nov</v>
      </c>
      <c r="P146" s="11">
        <f>YEAR(Data!$B146)</f>
        <v>2024</v>
      </c>
      <c r="Q146" s="12">
        <f t="shared" ca="1" si="8"/>
        <v>46122.659248495373</v>
      </c>
      <c r="R146" s="21"/>
      <c r="S146" s="19" t="str">
        <f t="shared" si="11"/>
        <v>Normal</v>
      </c>
      <c r="T146" s="26"/>
      <c r="AH146" t="str">
        <f t="shared" si="9"/>
        <v>Sar</v>
      </c>
    </row>
    <row r="147" spans="1:34" ht="15" thickBot="1">
      <c r="A147" s="22" t="s">
        <v>286</v>
      </c>
      <c r="B147" s="8">
        <v>45608</v>
      </c>
      <c r="C147" s="7" t="s">
        <v>83</v>
      </c>
      <c r="D147" s="7" t="s">
        <v>84</v>
      </c>
      <c r="E147" s="7" t="s">
        <v>31</v>
      </c>
      <c r="F147" s="7" t="s">
        <v>32</v>
      </c>
      <c r="G147" s="7" t="s">
        <v>33</v>
      </c>
      <c r="H147" s="2">
        <v>3</v>
      </c>
      <c r="I147" s="2">
        <v>59.99</v>
      </c>
      <c r="J147" s="7" t="s">
        <v>57</v>
      </c>
      <c r="K147" s="7" t="s">
        <v>35</v>
      </c>
      <c r="L147" s="7" t="s">
        <v>36</v>
      </c>
      <c r="M147" s="8">
        <v>45260</v>
      </c>
      <c r="N147" s="5">
        <f t="shared" si="10"/>
        <v>179.97</v>
      </c>
      <c r="O147" s="7" t="str">
        <f>TEXT(Data!$B147,"mmm")</f>
        <v>Nov</v>
      </c>
      <c r="P147" s="9">
        <f>YEAR(Data!$B147)</f>
        <v>2024</v>
      </c>
      <c r="Q147" s="10">
        <f t="shared" ca="1" si="8"/>
        <v>46122.659248495373</v>
      </c>
      <c r="R147" s="20"/>
      <c r="S147" s="36" t="str">
        <f t="shared" si="11"/>
        <v>Normal</v>
      </c>
      <c r="T147" s="27"/>
      <c r="AH147" t="str">
        <f t="shared" si="9"/>
        <v>Geo</v>
      </c>
    </row>
    <row r="148" spans="1:34" ht="15" thickBot="1">
      <c r="A148" s="19" t="s">
        <v>287</v>
      </c>
      <c r="B148" s="4">
        <v>45613</v>
      </c>
      <c r="C148" s="3" t="s">
        <v>234</v>
      </c>
      <c r="D148" s="3" t="s">
        <v>235</v>
      </c>
      <c r="E148" s="3" t="s">
        <v>44</v>
      </c>
      <c r="F148" s="3" t="s">
        <v>45</v>
      </c>
      <c r="G148" s="3" t="s">
        <v>46</v>
      </c>
      <c r="H148" s="5">
        <v>5</v>
      </c>
      <c r="I148" s="5">
        <v>149.99</v>
      </c>
      <c r="J148" s="3" t="s">
        <v>20</v>
      </c>
      <c r="K148" s="3" t="s">
        <v>40</v>
      </c>
      <c r="L148" s="3" t="s">
        <v>22</v>
      </c>
      <c r="M148" s="4">
        <v>44869</v>
      </c>
      <c r="N148" s="5">
        <f t="shared" si="10"/>
        <v>749.95</v>
      </c>
      <c r="O148" s="3" t="str">
        <f>TEXT(Data!$B148,"mmm")</f>
        <v>Nov</v>
      </c>
      <c r="P148" s="11">
        <f>YEAR(Data!$B148)</f>
        <v>2024</v>
      </c>
      <c r="Q148" s="12">
        <f t="shared" ca="1" si="8"/>
        <v>46122.659248495373</v>
      </c>
      <c r="R148" s="21"/>
      <c r="S148" s="19" t="str">
        <f t="shared" si="11"/>
        <v>Normal</v>
      </c>
      <c r="T148" s="26"/>
      <c r="AH148" t="str">
        <f t="shared" si="9"/>
        <v>San</v>
      </c>
    </row>
    <row r="149" spans="1:34" ht="15" thickBot="1">
      <c r="A149" s="22" t="s">
        <v>288</v>
      </c>
      <c r="B149" s="8">
        <v>45613</v>
      </c>
      <c r="C149" s="7" t="s">
        <v>86</v>
      </c>
      <c r="D149" s="7" t="s">
        <v>87</v>
      </c>
      <c r="E149" s="7" t="s">
        <v>80</v>
      </c>
      <c r="F149" s="7" t="s">
        <v>81</v>
      </c>
      <c r="G149" s="7" t="s">
        <v>19</v>
      </c>
      <c r="H149" s="2">
        <v>2</v>
      </c>
      <c r="I149" s="2">
        <v>699.99</v>
      </c>
      <c r="J149" s="7" t="s">
        <v>34</v>
      </c>
      <c r="K149" s="7" t="s">
        <v>50</v>
      </c>
      <c r="L149" s="7" t="s">
        <v>36</v>
      </c>
      <c r="M149" s="8">
        <v>44770</v>
      </c>
      <c r="N149" s="5">
        <f t="shared" si="10"/>
        <v>1399.98</v>
      </c>
      <c r="O149" s="7" t="str">
        <f>TEXT(Data!$B149,"mmm")</f>
        <v>Nov</v>
      </c>
      <c r="P149" s="9">
        <f>YEAR(Data!$B149)</f>
        <v>2024</v>
      </c>
      <c r="Q149" s="10">
        <f t="shared" ca="1" si="8"/>
        <v>46122.659248495373</v>
      </c>
      <c r="R149" s="20"/>
      <c r="S149" s="36" t="str">
        <f t="shared" si="11"/>
        <v>Normal</v>
      </c>
      <c r="T149" s="27"/>
      <c r="AH149" t="str">
        <f t="shared" si="9"/>
        <v>Mar</v>
      </c>
    </row>
    <row r="150" spans="1:34" ht="15" thickBot="1">
      <c r="A150" s="19" t="s">
        <v>289</v>
      </c>
      <c r="B150" s="4">
        <v>45617</v>
      </c>
      <c r="C150" s="3" t="s">
        <v>123</v>
      </c>
      <c r="D150" s="3" t="s">
        <v>124</v>
      </c>
      <c r="E150" s="3" t="s">
        <v>126</v>
      </c>
      <c r="F150" s="3" t="s">
        <v>127</v>
      </c>
      <c r="G150" s="3" t="s">
        <v>46</v>
      </c>
      <c r="H150" s="5">
        <v>4</v>
      </c>
      <c r="I150" s="5">
        <v>199.99</v>
      </c>
      <c r="J150" s="3" t="s">
        <v>57</v>
      </c>
      <c r="K150" s="3" t="s">
        <v>21</v>
      </c>
      <c r="L150" s="3" t="s">
        <v>27</v>
      </c>
      <c r="M150" s="4">
        <v>44427</v>
      </c>
      <c r="N150" s="5">
        <f t="shared" si="10"/>
        <v>799.96</v>
      </c>
      <c r="O150" s="3" t="str">
        <f>TEXT(Data!$B150,"mmm")</f>
        <v>Nov</v>
      </c>
      <c r="P150" s="11">
        <f>YEAR(Data!$B150)</f>
        <v>2024</v>
      </c>
      <c r="Q150" s="12">
        <f t="shared" ca="1" si="8"/>
        <v>46122.659248495373</v>
      </c>
      <c r="R150" s="21"/>
      <c r="S150" s="19" t="str">
        <f t="shared" si="11"/>
        <v>Normal</v>
      </c>
      <c r="T150" s="26"/>
      <c r="AH150" t="str">
        <f t="shared" si="9"/>
        <v>Edw</v>
      </c>
    </row>
    <row r="151" spans="1:34" ht="15" thickBot="1">
      <c r="A151" s="22" t="s">
        <v>290</v>
      </c>
      <c r="B151" s="8">
        <v>45619</v>
      </c>
      <c r="C151" s="7" t="s">
        <v>192</v>
      </c>
      <c r="D151" s="7" t="s">
        <v>193</v>
      </c>
      <c r="E151" s="7" t="s">
        <v>31</v>
      </c>
      <c r="F151" s="7" t="s">
        <v>32</v>
      </c>
      <c r="G151" s="7" t="s">
        <v>33</v>
      </c>
      <c r="H151" s="2">
        <v>1</v>
      </c>
      <c r="I151" s="2">
        <v>59.99</v>
      </c>
      <c r="J151" s="7" t="s">
        <v>57</v>
      </c>
      <c r="K151" s="7" t="s">
        <v>50</v>
      </c>
      <c r="L151" s="7" t="s">
        <v>36</v>
      </c>
      <c r="M151" s="8">
        <v>44560</v>
      </c>
      <c r="N151" s="5">
        <f t="shared" si="10"/>
        <v>59.99</v>
      </c>
      <c r="O151" s="7" t="str">
        <f>TEXT(Data!$B151,"mmm")</f>
        <v>Nov</v>
      </c>
      <c r="P151" s="9">
        <f>YEAR(Data!$B151)</f>
        <v>2024</v>
      </c>
      <c r="Q151" s="10">
        <f t="shared" ca="1" si="8"/>
        <v>46122.659248495373</v>
      </c>
      <c r="R151" s="20"/>
      <c r="S151" s="36" t="str">
        <f t="shared" si="11"/>
        <v>Normal</v>
      </c>
      <c r="T151" s="27"/>
      <c r="AH151" t="str">
        <f t="shared" si="9"/>
        <v>Fra</v>
      </c>
    </row>
    <row r="152" spans="1:34" ht="15" thickBot="1">
      <c r="A152" s="19" t="s">
        <v>291</v>
      </c>
      <c r="B152" s="4">
        <v>45619</v>
      </c>
      <c r="C152" s="3" t="s">
        <v>154</v>
      </c>
      <c r="D152" s="3" t="s">
        <v>155</v>
      </c>
      <c r="E152" s="3" t="s">
        <v>80</v>
      </c>
      <c r="F152" s="3" t="s">
        <v>81</v>
      </c>
      <c r="G152" s="3" t="s">
        <v>19</v>
      </c>
      <c r="H152" s="5">
        <v>3</v>
      </c>
      <c r="I152" s="5">
        <v>699.99</v>
      </c>
      <c r="J152" s="3" t="s">
        <v>34</v>
      </c>
      <c r="K152" s="3" t="s">
        <v>50</v>
      </c>
      <c r="L152" s="3" t="s">
        <v>36</v>
      </c>
      <c r="M152" s="4">
        <v>44583</v>
      </c>
      <c r="N152" s="5">
        <f t="shared" si="10"/>
        <v>2099.9700000000003</v>
      </c>
      <c r="O152" s="3" t="str">
        <f>TEXT(Data!$B152,"mmm")</f>
        <v>Nov</v>
      </c>
      <c r="P152" s="11">
        <f>YEAR(Data!$B152)</f>
        <v>2024</v>
      </c>
      <c r="Q152" s="12">
        <f t="shared" ca="1" si="8"/>
        <v>46122.659248495373</v>
      </c>
      <c r="R152" s="21"/>
      <c r="S152" s="19" t="str">
        <f t="shared" si="11"/>
        <v>High Value</v>
      </c>
      <c r="T152" s="26"/>
      <c r="AH152" t="str">
        <f t="shared" si="9"/>
        <v>Sar</v>
      </c>
    </row>
    <row r="153" spans="1:34" ht="15" thickBot="1">
      <c r="A153" s="22" t="s">
        <v>292</v>
      </c>
      <c r="B153" s="8">
        <v>45622</v>
      </c>
      <c r="C153" s="7" t="s">
        <v>293</v>
      </c>
      <c r="D153" s="7" t="s">
        <v>294</v>
      </c>
      <c r="E153" s="7" t="s">
        <v>17</v>
      </c>
      <c r="F153" s="7" t="s">
        <v>18</v>
      </c>
      <c r="G153" s="7" t="s">
        <v>19</v>
      </c>
      <c r="H153" s="2">
        <v>5</v>
      </c>
      <c r="I153" s="2">
        <v>249.99</v>
      </c>
      <c r="J153" s="7" t="s">
        <v>26</v>
      </c>
      <c r="K153" s="7" t="s">
        <v>40</v>
      </c>
      <c r="L153" s="7" t="s">
        <v>22</v>
      </c>
      <c r="M153" s="8">
        <v>44873</v>
      </c>
      <c r="N153" s="5">
        <f t="shared" si="10"/>
        <v>1249.95</v>
      </c>
      <c r="O153" s="7" t="str">
        <f>TEXT(Data!$B153,"mmm")</f>
        <v>Nov</v>
      </c>
      <c r="P153" s="9">
        <f>YEAR(Data!$B153)</f>
        <v>2024</v>
      </c>
      <c r="Q153" s="10">
        <f t="shared" ca="1" si="8"/>
        <v>46122.659248495373</v>
      </c>
      <c r="R153" s="20"/>
      <c r="S153" s="36" t="str">
        <f t="shared" si="11"/>
        <v>Normal</v>
      </c>
      <c r="T153" s="27"/>
      <c r="AH153" t="str">
        <f t="shared" si="9"/>
        <v>Dou</v>
      </c>
    </row>
    <row r="154" spans="1:34" ht="15" thickBot="1">
      <c r="A154" s="19" t="s">
        <v>295</v>
      </c>
      <c r="B154" s="4">
        <v>45623</v>
      </c>
      <c r="C154" s="3" t="s">
        <v>112</v>
      </c>
      <c r="D154" s="3" t="s">
        <v>113</v>
      </c>
      <c r="E154" s="3" t="s">
        <v>44</v>
      </c>
      <c r="F154" s="3" t="s">
        <v>45</v>
      </c>
      <c r="G154" s="3" t="s">
        <v>46</v>
      </c>
      <c r="H154" s="5">
        <v>2</v>
      </c>
      <c r="I154" s="5">
        <v>149.99</v>
      </c>
      <c r="J154" s="3" t="s">
        <v>20</v>
      </c>
      <c r="K154" s="3" t="s">
        <v>35</v>
      </c>
      <c r="L154" s="3" t="s">
        <v>36</v>
      </c>
      <c r="M154" s="4">
        <v>45101</v>
      </c>
      <c r="N154" s="5">
        <f t="shared" si="10"/>
        <v>299.98</v>
      </c>
      <c r="O154" s="3" t="str">
        <f>TEXT(Data!$B154,"mmm")</f>
        <v>Nov</v>
      </c>
      <c r="P154" s="11">
        <f>YEAR(Data!$B154)</f>
        <v>2024</v>
      </c>
      <c r="Q154" s="12">
        <f t="shared" ca="1" si="8"/>
        <v>46122.659248495373</v>
      </c>
      <c r="R154" s="21"/>
      <c r="S154" s="19" t="str">
        <f t="shared" si="11"/>
        <v>Normal</v>
      </c>
      <c r="T154" s="26"/>
      <c r="AH154" t="str">
        <f t="shared" si="9"/>
        <v>Lin</v>
      </c>
    </row>
    <row r="155" spans="1:34" ht="15" thickBot="1">
      <c r="A155" s="22" t="s">
        <v>296</v>
      </c>
      <c r="B155" s="8">
        <v>45627</v>
      </c>
      <c r="C155" s="7" t="s">
        <v>29</v>
      </c>
      <c r="D155" s="7" t="s">
        <v>30</v>
      </c>
      <c r="E155" s="7" t="s">
        <v>105</v>
      </c>
      <c r="F155" s="7" t="s">
        <v>106</v>
      </c>
      <c r="G155" s="7" t="s">
        <v>46</v>
      </c>
      <c r="H155" s="2">
        <v>3</v>
      </c>
      <c r="I155" s="2">
        <v>299.99</v>
      </c>
      <c r="J155" s="7" t="s">
        <v>20</v>
      </c>
      <c r="K155" s="7" t="s">
        <v>35</v>
      </c>
      <c r="L155" s="7" t="s">
        <v>27</v>
      </c>
      <c r="M155" s="8">
        <v>44659</v>
      </c>
      <c r="N155" s="5">
        <f t="shared" si="10"/>
        <v>899.97</v>
      </c>
      <c r="O155" s="7" t="str">
        <f>TEXT(Data!$B155,"mmm")</f>
        <v>Dec</v>
      </c>
      <c r="P155" s="9">
        <f>YEAR(Data!$B155)</f>
        <v>2024</v>
      </c>
      <c r="Q155" s="10">
        <f t="shared" ca="1" si="8"/>
        <v>46122.659248495373</v>
      </c>
      <c r="R155" s="20"/>
      <c r="S155" s="36" t="str">
        <f t="shared" si="11"/>
        <v>Normal</v>
      </c>
      <c r="T155" s="27"/>
      <c r="AH155" t="str">
        <f t="shared" si="9"/>
        <v>Kev</v>
      </c>
    </row>
    <row r="156" spans="1:34" ht="15" thickBot="1">
      <c r="A156" s="19" t="s">
        <v>297</v>
      </c>
      <c r="B156" s="4">
        <v>45627</v>
      </c>
      <c r="C156" s="3" t="s">
        <v>55</v>
      </c>
      <c r="D156" s="3" t="s">
        <v>56</v>
      </c>
      <c r="E156" s="3" t="s">
        <v>17</v>
      </c>
      <c r="F156" s="3" t="s">
        <v>18</v>
      </c>
      <c r="G156" s="3" t="s">
        <v>19</v>
      </c>
      <c r="H156" s="5">
        <v>5</v>
      </c>
      <c r="I156" s="5">
        <v>249.99</v>
      </c>
      <c r="J156" s="3" t="s">
        <v>20</v>
      </c>
      <c r="K156" s="3" t="s">
        <v>21</v>
      </c>
      <c r="L156" s="3" t="s">
        <v>27</v>
      </c>
      <c r="M156" s="4">
        <v>44485</v>
      </c>
      <c r="N156" s="5">
        <f t="shared" si="10"/>
        <v>1249.95</v>
      </c>
      <c r="O156" s="3" t="str">
        <f>TEXT(Data!$B156,"mmm")</f>
        <v>Dec</v>
      </c>
      <c r="P156" s="11">
        <f>YEAR(Data!$B156)</f>
        <v>2024</v>
      </c>
      <c r="Q156" s="12">
        <f t="shared" ca="1" si="8"/>
        <v>46122.659248495373</v>
      </c>
      <c r="R156" s="21"/>
      <c r="S156" s="19" t="str">
        <f t="shared" si="11"/>
        <v>Normal</v>
      </c>
      <c r="T156" s="26"/>
      <c r="AH156" t="str">
        <f t="shared" si="9"/>
        <v>Cha</v>
      </c>
    </row>
    <row r="157" spans="1:34" ht="15" thickBot="1">
      <c r="A157" s="22" t="s">
        <v>298</v>
      </c>
      <c r="B157" s="8">
        <v>45627</v>
      </c>
      <c r="C157" s="7" t="s">
        <v>24</v>
      </c>
      <c r="D157" s="7" t="s">
        <v>25</v>
      </c>
      <c r="E157" s="7" t="s">
        <v>52</v>
      </c>
      <c r="F157" s="7" t="s">
        <v>53</v>
      </c>
      <c r="G157" s="7" t="s">
        <v>19</v>
      </c>
      <c r="H157" s="2">
        <v>2</v>
      </c>
      <c r="I157" s="2">
        <v>149.99</v>
      </c>
      <c r="J157" s="7" t="s">
        <v>20</v>
      </c>
      <c r="K157" s="7" t="s">
        <v>35</v>
      </c>
      <c r="L157" s="7" t="s">
        <v>27</v>
      </c>
      <c r="M157" s="8">
        <v>44475</v>
      </c>
      <c r="N157" s="5">
        <f t="shared" si="10"/>
        <v>299.98</v>
      </c>
      <c r="O157" s="7" t="str">
        <f>TEXT(Data!$B157,"mmm")</f>
        <v>Dec</v>
      </c>
      <c r="P157" s="9">
        <f>YEAR(Data!$B157)</f>
        <v>2024</v>
      </c>
      <c r="Q157" s="10">
        <f t="shared" ca="1" si="8"/>
        <v>46122.659248495373</v>
      </c>
      <c r="R157" s="20"/>
      <c r="S157" s="36" t="str">
        <f t="shared" si="11"/>
        <v>Normal</v>
      </c>
      <c r="T157" s="27"/>
      <c r="AH157" t="str">
        <f t="shared" si="9"/>
        <v>Jos</v>
      </c>
    </row>
    <row r="158" spans="1:34" ht="15" thickBot="1">
      <c r="A158" s="19" t="s">
        <v>299</v>
      </c>
      <c r="B158" s="4">
        <v>45627</v>
      </c>
      <c r="C158" s="3" t="s">
        <v>86</v>
      </c>
      <c r="D158" s="3" t="s">
        <v>87</v>
      </c>
      <c r="E158" s="3" t="s">
        <v>80</v>
      </c>
      <c r="F158" s="3" t="s">
        <v>81</v>
      </c>
      <c r="G158" s="3" t="s">
        <v>19</v>
      </c>
      <c r="H158" s="5">
        <v>5</v>
      </c>
      <c r="I158" s="5">
        <v>699.99</v>
      </c>
      <c r="J158" s="3" t="s">
        <v>57</v>
      </c>
      <c r="K158" s="3" t="s">
        <v>50</v>
      </c>
      <c r="L158" s="3" t="s">
        <v>36</v>
      </c>
      <c r="M158" s="4">
        <v>44944</v>
      </c>
      <c r="N158" s="5">
        <f t="shared" si="10"/>
        <v>3499.95</v>
      </c>
      <c r="O158" s="3" t="str">
        <f>TEXT(Data!$B158,"mmm")</f>
        <v>Dec</v>
      </c>
      <c r="P158" s="11">
        <f>YEAR(Data!$B158)</f>
        <v>2024</v>
      </c>
      <c r="Q158" s="12">
        <f t="shared" ca="1" si="8"/>
        <v>46122.659248495373</v>
      </c>
      <c r="R158" s="21"/>
      <c r="S158" s="19" t="str">
        <f t="shared" si="11"/>
        <v>High Value</v>
      </c>
      <c r="T158" s="26"/>
      <c r="AH158" t="str">
        <f t="shared" si="9"/>
        <v>Mar</v>
      </c>
    </row>
    <row r="159" spans="1:34" ht="15" thickBot="1">
      <c r="A159" s="22" t="s">
        <v>300</v>
      </c>
      <c r="B159" s="8">
        <v>45629</v>
      </c>
      <c r="C159" s="7" t="s">
        <v>252</v>
      </c>
      <c r="D159" s="7" t="s">
        <v>253</v>
      </c>
      <c r="E159" s="7" t="s">
        <v>17</v>
      </c>
      <c r="F159" s="7" t="s">
        <v>18</v>
      </c>
      <c r="G159" s="7" t="s">
        <v>19</v>
      </c>
      <c r="H159" s="2">
        <v>4</v>
      </c>
      <c r="I159" s="2">
        <v>249.99</v>
      </c>
      <c r="J159" s="7" t="s">
        <v>34</v>
      </c>
      <c r="K159" s="7" t="s">
        <v>63</v>
      </c>
      <c r="L159" s="7" t="s">
        <v>27</v>
      </c>
      <c r="M159" s="8">
        <v>45098</v>
      </c>
      <c r="N159" s="5">
        <f t="shared" si="10"/>
        <v>999.96</v>
      </c>
      <c r="O159" s="7" t="str">
        <f>TEXT(Data!$B159,"mmm")</f>
        <v>Dec</v>
      </c>
      <c r="P159" s="9">
        <f>YEAR(Data!$B159)</f>
        <v>2024</v>
      </c>
      <c r="Q159" s="10">
        <f t="shared" ca="1" si="8"/>
        <v>46122.659248495373</v>
      </c>
      <c r="R159" s="20"/>
      <c r="S159" s="36" t="str">
        <f t="shared" si="11"/>
        <v>Normal</v>
      </c>
      <c r="T159" s="27"/>
      <c r="AH159" t="str">
        <f t="shared" si="9"/>
        <v>Wil</v>
      </c>
    </row>
    <row r="160" spans="1:34" ht="15" thickBot="1">
      <c r="A160" s="19" t="s">
        <v>301</v>
      </c>
      <c r="B160" s="4">
        <v>45630</v>
      </c>
      <c r="C160" s="3" t="s">
        <v>48</v>
      </c>
      <c r="D160" s="3" t="s">
        <v>49</v>
      </c>
      <c r="E160" s="3" t="s">
        <v>80</v>
      </c>
      <c r="F160" s="3" t="s">
        <v>81</v>
      </c>
      <c r="G160" s="3" t="s">
        <v>19</v>
      </c>
      <c r="H160" s="5">
        <v>4</v>
      </c>
      <c r="I160" s="5">
        <v>699.99</v>
      </c>
      <c r="J160" s="3" t="s">
        <v>26</v>
      </c>
      <c r="K160" s="3" t="s">
        <v>40</v>
      </c>
      <c r="L160" s="3" t="s">
        <v>27</v>
      </c>
      <c r="M160" s="4">
        <v>44703</v>
      </c>
      <c r="N160" s="5">
        <f t="shared" si="10"/>
        <v>2799.96</v>
      </c>
      <c r="O160" s="3" t="str">
        <f>TEXT(Data!$B160,"mmm")</f>
        <v>Dec</v>
      </c>
      <c r="P160" s="11">
        <f>YEAR(Data!$B160)</f>
        <v>2024</v>
      </c>
      <c r="Q160" s="12">
        <f t="shared" ca="1" si="8"/>
        <v>46122.659248495373</v>
      </c>
      <c r="R160" s="21"/>
      <c r="S160" s="19" t="str">
        <f t="shared" si="11"/>
        <v>High Value</v>
      </c>
      <c r="T160" s="26"/>
      <c r="AH160" t="str">
        <f t="shared" si="9"/>
        <v>Dor</v>
      </c>
    </row>
    <row r="161" spans="1:34" ht="15" thickBot="1">
      <c r="A161" s="22" t="s">
        <v>302</v>
      </c>
      <c r="B161" s="8">
        <v>45635</v>
      </c>
      <c r="C161" s="7" t="s">
        <v>108</v>
      </c>
      <c r="D161" s="7" t="s">
        <v>109</v>
      </c>
      <c r="E161" s="7" t="s">
        <v>17</v>
      </c>
      <c r="F161" s="7" t="s">
        <v>18</v>
      </c>
      <c r="G161" s="7" t="s">
        <v>19</v>
      </c>
      <c r="H161" s="2">
        <v>2</v>
      </c>
      <c r="I161" s="2">
        <v>249.99</v>
      </c>
      <c r="J161" s="7" t="s">
        <v>26</v>
      </c>
      <c r="K161" s="7" t="s">
        <v>21</v>
      </c>
      <c r="L161" s="7" t="s">
        <v>27</v>
      </c>
      <c r="M161" s="8">
        <v>44396</v>
      </c>
      <c r="N161" s="5">
        <f t="shared" si="10"/>
        <v>499.98</v>
      </c>
      <c r="O161" s="7" t="str">
        <f>TEXT(Data!$B161,"mmm")</f>
        <v>Dec</v>
      </c>
      <c r="P161" s="9">
        <f>YEAR(Data!$B161)</f>
        <v>2024</v>
      </c>
      <c r="Q161" s="10">
        <f t="shared" ca="1" si="8"/>
        <v>46122.659248495373</v>
      </c>
      <c r="R161" s="20"/>
      <c r="S161" s="36" t="str">
        <f t="shared" si="11"/>
        <v>Normal</v>
      </c>
      <c r="T161" s="27"/>
      <c r="AH161" t="str">
        <f t="shared" si="9"/>
        <v>Nan</v>
      </c>
    </row>
    <row r="162" spans="1:34" ht="15" thickBot="1">
      <c r="A162" s="19" t="s">
        <v>303</v>
      </c>
      <c r="B162" s="4">
        <v>45635</v>
      </c>
      <c r="C162" s="3" t="s">
        <v>304</v>
      </c>
      <c r="D162" s="3" t="s">
        <v>305</v>
      </c>
      <c r="E162" s="3" t="s">
        <v>31</v>
      </c>
      <c r="F162" s="3" t="s">
        <v>32</v>
      </c>
      <c r="G162" s="3" t="s">
        <v>33</v>
      </c>
      <c r="H162" s="5">
        <v>3</v>
      </c>
      <c r="I162" s="5">
        <v>59.99</v>
      </c>
      <c r="J162" s="3" t="s">
        <v>20</v>
      </c>
      <c r="K162" s="3" t="s">
        <v>21</v>
      </c>
      <c r="L162" s="3" t="s">
        <v>27</v>
      </c>
      <c r="M162" s="4">
        <v>45052</v>
      </c>
      <c r="N162" s="5">
        <f t="shared" si="10"/>
        <v>179.97</v>
      </c>
      <c r="O162" s="3" t="str">
        <f>TEXT(Data!$B162,"mmm")</f>
        <v>Dec</v>
      </c>
      <c r="P162" s="11">
        <f>YEAR(Data!$B162)</f>
        <v>2024</v>
      </c>
      <c r="Q162" s="12">
        <f t="shared" ca="1" si="8"/>
        <v>46122.659248495373</v>
      </c>
      <c r="R162" s="21"/>
      <c r="S162" s="19" t="str">
        <f t="shared" si="11"/>
        <v>Normal</v>
      </c>
      <c r="T162" s="26"/>
      <c r="AH162" t="str">
        <f t="shared" si="9"/>
        <v>Jam</v>
      </c>
    </row>
    <row r="163" spans="1:34" ht="15" thickBot="1">
      <c r="A163" s="22" t="s">
        <v>306</v>
      </c>
      <c r="B163" s="8">
        <v>45635</v>
      </c>
      <c r="C163" s="7" t="s">
        <v>141</v>
      </c>
      <c r="D163" s="7" t="s">
        <v>142</v>
      </c>
      <c r="E163" s="7" t="s">
        <v>114</v>
      </c>
      <c r="F163" s="7" t="s">
        <v>115</v>
      </c>
      <c r="G163" s="7" t="s">
        <v>33</v>
      </c>
      <c r="H163" s="2">
        <v>4</v>
      </c>
      <c r="I163" s="2">
        <v>79.989999999999995</v>
      </c>
      <c r="J163" s="7" t="s">
        <v>57</v>
      </c>
      <c r="K163" s="7" t="s">
        <v>63</v>
      </c>
      <c r="L163" s="7" t="s">
        <v>36</v>
      </c>
      <c r="M163" s="8">
        <v>44921</v>
      </c>
      <c r="N163" s="5">
        <f t="shared" si="10"/>
        <v>319.95999999999998</v>
      </c>
      <c r="O163" s="7" t="str">
        <f>TEXT(Data!$B163,"mmm")</f>
        <v>Dec</v>
      </c>
      <c r="P163" s="9">
        <f>YEAR(Data!$B163)</f>
        <v>2024</v>
      </c>
      <c r="Q163" s="10">
        <f t="shared" ca="1" si="8"/>
        <v>46122.659248495373</v>
      </c>
      <c r="R163" s="20"/>
      <c r="S163" s="36" t="str">
        <f t="shared" si="11"/>
        <v>Normal</v>
      </c>
      <c r="T163" s="27"/>
      <c r="AH163" t="str">
        <f t="shared" si="9"/>
        <v>Jen</v>
      </c>
    </row>
    <row r="164" spans="1:34" ht="15" thickBot="1">
      <c r="A164" s="19" t="s">
        <v>307</v>
      </c>
      <c r="B164" s="4">
        <v>45636</v>
      </c>
      <c r="C164" s="3" t="s">
        <v>120</v>
      </c>
      <c r="D164" s="3" t="s">
        <v>121</v>
      </c>
      <c r="E164" s="3" t="s">
        <v>114</v>
      </c>
      <c r="F164" s="3" t="s">
        <v>115</v>
      </c>
      <c r="G164" s="3" t="s">
        <v>33</v>
      </c>
      <c r="H164" s="5">
        <v>3</v>
      </c>
      <c r="I164" s="5">
        <v>79.989999999999995</v>
      </c>
      <c r="J164" s="3" t="s">
        <v>57</v>
      </c>
      <c r="K164" s="3" t="s">
        <v>63</v>
      </c>
      <c r="L164" s="3" t="s">
        <v>36</v>
      </c>
      <c r="M164" s="4">
        <v>44779</v>
      </c>
      <c r="N164" s="5">
        <f t="shared" si="10"/>
        <v>239.96999999999997</v>
      </c>
      <c r="O164" s="3" t="str">
        <f>TEXT(Data!$B164,"mmm")</f>
        <v>Dec</v>
      </c>
      <c r="P164" s="11">
        <f>YEAR(Data!$B164)</f>
        <v>2024</v>
      </c>
      <c r="Q164" s="12">
        <f t="shared" ca="1" si="8"/>
        <v>46122.659248495373</v>
      </c>
      <c r="R164" s="21"/>
      <c r="S164" s="19" t="str">
        <f t="shared" si="11"/>
        <v>Normal</v>
      </c>
      <c r="T164" s="26"/>
      <c r="AH164" t="str">
        <f t="shared" si="9"/>
        <v>Hel</v>
      </c>
    </row>
    <row r="165" spans="1:34" ht="15" thickBot="1">
      <c r="A165" s="22" t="s">
        <v>308</v>
      </c>
      <c r="B165" s="8">
        <v>45638</v>
      </c>
      <c r="C165" s="7" t="s">
        <v>72</v>
      </c>
      <c r="D165" s="7" t="s">
        <v>73</v>
      </c>
      <c r="E165" s="7" t="s">
        <v>61</v>
      </c>
      <c r="F165" s="7" t="s">
        <v>62</v>
      </c>
      <c r="G165" s="7" t="s">
        <v>19</v>
      </c>
      <c r="H165" s="2">
        <v>2</v>
      </c>
      <c r="I165" s="2">
        <v>899.99</v>
      </c>
      <c r="J165" s="7" t="s">
        <v>20</v>
      </c>
      <c r="K165" s="7" t="s">
        <v>40</v>
      </c>
      <c r="L165" s="7" t="s">
        <v>22</v>
      </c>
      <c r="M165" s="8">
        <v>44406</v>
      </c>
      <c r="N165" s="5">
        <f t="shared" si="10"/>
        <v>1799.98</v>
      </c>
      <c r="O165" s="7" t="str">
        <f>TEXT(Data!$B165,"mmm")</f>
        <v>Dec</v>
      </c>
      <c r="P165" s="9">
        <f>YEAR(Data!$B165)</f>
        <v>2024</v>
      </c>
      <c r="Q165" s="10">
        <f t="shared" ca="1" si="8"/>
        <v>46122.659248495373</v>
      </c>
      <c r="R165" s="20"/>
      <c r="S165" s="36" t="str">
        <f t="shared" si="11"/>
        <v>Normal</v>
      </c>
      <c r="T165" s="27"/>
      <c r="AH165" t="str">
        <f t="shared" si="9"/>
        <v>Pet</v>
      </c>
    </row>
    <row r="166" spans="1:34" ht="15" thickBot="1">
      <c r="A166" s="19" t="s">
        <v>309</v>
      </c>
      <c r="B166" s="4">
        <v>45641</v>
      </c>
      <c r="C166" s="3" t="s">
        <v>182</v>
      </c>
      <c r="D166" s="3" t="s">
        <v>183</v>
      </c>
      <c r="E166" s="3" t="s">
        <v>44</v>
      </c>
      <c r="F166" s="3" t="s">
        <v>45</v>
      </c>
      <c r="G166" s="3" t="s">
        <v>46</v>
      </c>
      <c r="H166" s="5">
        <v>1</v>
      </c>
      <c r="I166" s="5">
        <v>149.99</v>
      </c>
      <c r="J166" s="3" t="s">
        <v>57</v>
      </c>
      <c r="K166" s="3" t="s">
        <v>63</v>
      </c>
      <c r="L166" s="3" t="s">
        <v>36</v>
      </c>
      <c r="M166" s="4">
        <v>45200</v>
      </c>
      <c r="N166" s="5">
        <f t="shared" si="10"/>
        <v>149.99</v>
      </c>
      <c r="O166" s="3" t="str">
        <f>TEXT(Data!$B166,"mmm")</f>
        <v>Dec</v>
      </c>
      <c r="P166" s="11">
        <f>YEAR(Data!$B166)</f>
        <v>2024</v>
      </c>
      <c r="Q166" s="12">
        <f t="shared" ca="1" si="8"/>
        <v>46122.659248495373</v>
      </c>
      <c r="R166" s="21"/>
      <c r="S166" s="19" t="str">
        <f t="shared" si="11"/>
        <v>Normal</v>
      </c>
      <c r="T166" s="26"/>
      <c r="AH166" t="str">
        <f t="shared" si="9"/>
        <v>Dav</v>
      </c>
    </row>
    <row r="167" spans="1:34" ht="15" thickBot="1">
      <c r="A167" s="22" t="s">
        <v>310</v>
      </c>
      <c r="B167" s="8">
        <v>45641</v>
      </c>
      <c r="C167" s="7" t="s">
        <v>138</v>
      </c>
      <c r="D167" s="7" t="s">
        <v>139</v>
      </c>
      <c r="E167" s="7" t="s">
        <v>105</v>
      </c>
      <c r="F167" s="7" t="s">
        <v>106</v>
      </c>
      <c r="G167" s="7" t="s">
        <v>46</v>
      </c>
      <c r="H167" s="2">
        <v>2</v>
      </c>
      <c r="I167" s="2">
        <v>299.99</v>
      </c>
      <c r="J167" s="7" t="s">
        <v>20</v>
      </c>
      <c r="K167" s="7" t="s">
        <v>63</v>
      </c>
      <c r="L167" s="7" t="s">
        <v>27</v>
      </c>
      <c r="M167" s="8">
        <v>44724</v>
      </c>
      <c r="N167" s="5">
        <f t="shared" si="10"/>
        <v>599.98</v>
      </c>
      <c r="O167" s="7" t="str">
        <f>TEXT(Data!$B167,"mmm")</f>
        <v>Dec</v>
      </c>
      <c r="P167" s="9">
        <f>YEAR(Data!$B167)</f>
        <v>2024</v>
      </c>
      <c r="Q167" s="10">
        <f t="shared" ca="1" si="8"/>
        <v>46122.659248495373</v>
      </c>
      <c r="R167" s="20"/>
      <c r="S167" s="36" t="str">
        <f t="shared" si="11"/>
        <v>Normal</v>
      </c>
      <c r="T167" s="27"/>
      <c r="AH167" t="str">
        <f t="shared" si="9"/>
        <v>Ste</v>
      </c>
    </row>
    <row r="168" spans="1:34" ht="15" thickBot="1">
      <c r="A168" s="19" t="s">
        <v>311</v>
      </c>
      <c r="B168" s="4">
        <v>45644</v>
      </c>
      <c r="C168" s="3" t="s">
        <v>132</v>
      </c>
      <c r="D168" s="3" t="s">
        <v>133</v>
      </c>
      <c r="E168" s="3" t="s">
        <v>31</v>
      </c>
      <c r="F168" s="3" t="s">
        <v>32</v>
      </c>
      <c r="G168" s="3" t="s">
        <v>33</v>
      </c>
      <c r="H168" s="5">
        <v>2</v>
      </c>
      <c r="I168" s="5">
        <v>59.99</v>
      </c>
      <c r="J168" s="3" t="s">
        <v>20</v>
      </c>
      <c r="K168" s="3" t="s">
        <v>50</v>
      </c>
      <c r="L168" s="3" t="s">
        <v>22</v>
      </c>
      <c r="M168" s="4">
        <v>45191</v>
      </c>
      <c r="N168" s="5">
        <f t="shared" si="10"/>
        <v>119.98</v>
      </c>
      <c r="O168" s="3" t="str">
        <f>TEXT(Data!$B168,"mmm")</f>
        <v>Dec</v>
      </c>
      <c r="P168" s="11">
        <f>YEAR(Data!$B168)</f>
        <v>2024</v>
      </c>
      <c r="Q168" s="12">
        <f t="shared" ca="1" si="8"/>
        <v>46122.659248495373</v>
      </c>
      <c r="R168" s="21"/>
      <c r="S168" s="19" t="str">
        <f t="shared" si="11"/>
        <v>Normal</v>
      </c>
      <c r="T168" s="26"/>
      <c r="AH168" t="str">
        <f t="shared" si="9"/>
        <v>Emm</v>
      </c>
    </row>
    <row r="169" spans="1:34" ht="15" thickBot="1">
      <c r="A169" s="22" t="s">
        <v>312</v>
      </c>
      <c r="B169" s="8">
        <v>45645</v>
      </c>
      <c r="C169" s="7" t="s">
        <v>182</v>
      </c>
      <c r="D169" s="7" t="s">
        <v>183</v>
      </c>
      <c r="E169" s="7" t="s">
        <v>117</v>
      </c>
      <c r="F169" s="7" t="s">
        <v>118</v>
      </c>
      <c r="G169" s="7" t="s">
        <v>19</v>
      </c>
      <c r="H169" s="2">
        <v>1</v>
      </c>
      <c r="I169" s="2">
        <v>89.99</v>
      </c>
      <c r="J169" s="7" t="s">
        <v>57</v>
      </c>
      <c r="K169" s="7" t="s">
        <v>21</v>
      </c>
      <c r="L169" s="7" t="s">
        <v>36</v>
      </c>
      <c r="M169" s="8">
        <v>44760</v>
      </c>
      <c r="N169" s="5">
        <f t="shared" si="10"/>
        <v>89.99</v>
      </c>
      <c r="O169" s="7" t="str">
        <f>TEXT(Data!$B169,"mmm")</f>
        <v>Dec</v>
      </c>
      <c r="P169" s="9">
        <f>YEAR(Data!$B169)</f>
        <v>2024</v>
      </c>
      <c r="Q169" s="10">
        <f t="shared" ca="1" si="8"/>
        <v>46122.659248495373</v>
      </c>
      <c r="R169" s="20"/>
      <c r="S169" s="36" t="str">
        <f t="shared" si="11"/>
        <v>Normal</v>
      </c>
      <c r="T169" s="27"/>
      <c r="AH169" t="str">
        <f t="shared" si="9"/>
        <v>Dav</v>
      </c>
    </row>
    <row r="170" spans="1:34" ht="15" thickBot="1">
      <c r="A170" s="19" t="s">
        <v>313</v>
      </c>
      <c r="B170" s="4">
        <v>45645</v>
      </c>
      <c r="C170" s="3" t="s">
        <v>147</v>
      </c>
      <c r="D170" s="3" t="s">
        <v>148</v>
      </c>
      <c r="E170" s="3" t="s">
        <v>61</v>
      </c>
      <c r="F170" s="3" t="s">
        <v>62</v>
      </c>
      <c r="G170" s="3" t="s">
        <v>19</v>
      </c>
      <c r="H170" s="5">
        <v>5</v>
      </c>
      <c r="I170" s="5">
        <v>899.99</v>
      </c>
      <c r="J170" s="3" t="s">
        <v>57</v>
      </c>
      <c r="K170" s="3" t="s">
        <v>63</v>
      </c>
      <c r="L170" s="3" t="s">
        <v>36</v>
      </c>
      <c r="M170" s="4">
        <v>44625</v>
      </c>
      <c r="N170" s="5">
        <f t="shared" si="10"/>
        <v>4499.95</v>
      </c>
      <c r="O170" s="3" t="str">
        <f>TEXT(Data!$B170,"mmm")</f>
        <v>Dec</v>
      </c>
      <c r="P170" s="11">
        <f>YEAR(Data!$B170)</f>
        <v>2024</v>
      </c>
      <c r="Q170" s="12">
        <f t="shared" ca="1" si="8"/>
        <v>46122.659248495373</v>
      </c>
      <c r="R170" s="21"/>
      <c r="S170" s="19" t="str">
        <f t="shared" si="11"/>
        <v>High Value</v>
      </c>
      <c r="T170" s="26"/>
      <c r="AH170" t="str">
        <f t="shared" si="9"/>
        <v>Dan</v>
      </c>
    </row>
    <row r="171" spans="1:34" ht="15" thickBot="1">
      <c r="A171" s="22" t="s">
        <v>314</v>
      </c>
      <c r="B171" s="8">
        <v>45646</v>
      </c>
      <c r="C171" s="7" t="s">
        <v>42</v>
      </c>
      <c r="D171" s="7" t="s">
        <v>43</v>
      </c>
      <c r="E171" s="7" t="s">
        <v>44</v>
      </c>
      <c r="F171" s="7" t="s">
        <v>45</v>
      </c>
      <c r="G171" s="7" t="s">
        <v>46</v>
      </c>
      <c r="H171" s="2">
        <v>2</v>
      </c>
      <c r="I171" s="2">
        <v>149.99</v>
      </c>
      <c r="J171" s="7" t="s">
        <v>20</v>
      </c>
      <c r="K171" s="7" t="s">
        <v>35</v>
      </c>
      <c r="L171" s="7" t="s">
        <v>22</v>
      </c>
      <c r="M171" s="8">
        <v>45239</v>
      </c>
      <c r="N171" s="5">
        <f t="shared" si="10"/>
        <v>299.98</v>
      </c>
      <c r="O171" s="7" t="str">
        <f>TEXT(Data!$B171,"mmm")</f>
        <v>Dec</v>
      </c>
      <c r="P171" s="9">
        <f>YEAR(Data!$B171)</f>
        <v>2024</v>
      </c>
      <c r="Q171" s="10">
        <f t="shared" ca="1" si="8"/>
        <v>46122.659248495373</v>
      </c>
      <c r="R171" s="20"/>
      <c r="S171" s="36" t="str">
        <f t="shared" si="11"/>
        <v>Normal</v>
      </c>
      <c r="T171" s="27"/>
      <c r="AH171" t="str">
        <f t="shared" si="9"/>
        <v>Mic</v>
      </c>
    </row>
    <row r="172" spans="1:34" ht="15" thickBot="1">
      <c r="A172" s="19" t="s">
        <v>315</v>
      </c>
      <c r="B172" s="4">
        <v>45648</v>
      </c>
      <c r="C172" s="3" t="s">
        <v>112</v>
      </c>
      <c r="D172" s="3" t="s">
        <v>113</v>
      </c>
      <c r="E172" s="3" t="s">
        <v>52</v>
      </c>
      <c r="F172" s="3" t="s">
        <v>53</v>
      </c>
      <c r="G172" s="3" t="s">
        <v>19</v>
      </c>
      <c r="H172" s="5">
        <v>2</v>
      </c>
      <c r="I172" s="5">
        <v>149.99</v>
      </c>
      <c r="J172" s="3" t="s">
        <v>57</v>
      </c>
      <c r="K172" s="3" t="s">
        <v>50</v>
      </c>
      <c r="L172" s="3" t="s">
        <v>27</v>
      </c>
      <c r="M172" s="4">
        <v>45280</v>
      </c>
      <c r="N172" s="5">
        <f t="shared" si="10"/>
        <v>299.98</v>
      </c>
      <c r="O172" s="3" t="str">
        <f>TEXT(Data!$B172,"mmm")</f>
        <v>Dec</v>
      </c>
      <c r="P172" s="11">
        <f>YEAR(Data!$B172)</f>
        <v>2024</v>
      </c>
      <c r="Q172" s="12">
        <f t="shared" ca="1" si="8"/>
        <v>46122.659248495373</v>
      </c>
      <c r="R172" s="21"/>
      <c r="S172" s="19" t="str">
        <f t="shared" si="11"/>
        <v>Normal</v>
      </c>
      <c r="T172" s="26"/>
      <c r="AH172" t="str">
        <f t="shared" si="9"/>
        <v>Lin</v>
      </c>
    </row>
    <row r="173" spans="1:34" ht="15" thickBot="1">
      <c r="A173" s="22" t="s">
        <v>316</v>
      </c>
      <c r="B173" s="8">
        <v>45648</v>
      </c>
      <c r="C173" s="7" t="s">
        <v>182</v>
      </c>
      <c r="D173" s="7" t="s">
        <v>183</v>
      </c>
      <c r="E173" s="7" t="s">
        <v>44</v>
      </c>
      <c r="F173" s="7" t="s">
        <v>45</v>
      </c>
      <c r="G173" s="7" t="s">
        <v>46</v>
      </c>
      <c r="H173" s="2">
        <v>3</v>
      </c>
      <c r="I173" s="2">
        <v>149.99</v>
      </c>
      <c r="J173" s="7" t="s">
        <v>57</v>
      </c>
      <c r="K173" s="7" t="s">
        <v>40</v>
      </c>
      <c r="L173" s="7" t="s">
        <v>36</v>
      </c>
      <c r="M173" s="8">
        <v>44522</v>
      </c>
      <c r="N173" s="5">
        <f t="shared" si="10"/>
        <v>449.97</v>
      </c>
      <c r="O173" s="7" t="str">
        <f>TEXT(Data!$B173,"mmm")</f>
        <v>Dec</v>
      </c>
      <c r="P173" s="9">
        <f>YEAR(Data!$B173)</f>
        <v>2024</v>
      </c>
      <c r="Q173" s="10">
        <f t="shared" ca="1" si="8"/>
        <v>46122.659248495373</v>
      </c>
      <c r="R173" s="20"/>
      <c r="S173" s="36" t="str">
        <f t="shared" si="11"/>
        <v>Normal</v>
      </c>
      <c r="T173" s="27"/>
      <c r="AH173" t="str">
        <f t="shared" si="9"/>
        <v>Dav</v>
      </c>
    </row>
    <row r="174" spans="1:34" ht="15" thickBot="1">
      <c r="A174" s="19" t="s">
        <v>317</v>
      </c>
      <c r="B174" s="4">
        <v>45649</v>
      </c>
      <c r="C174" s="3" t="s">
        <v>29</v>
      </c>
      <c r="D174" s="3" t="s">
        <v>30</v>
      </c>
      <c r="E174" s="3" t="s">
        <v>105</v>
      </c>
      <c r="F174" s="3" t="s">
        <v>106</v>
      </c>
      <c r="G174" s="3" t="s">
        <v>46</v>
      </c>
      <c r="H174" s="5">
        <v>2</v>
      </c>
      <c r="I174" s="5">
        <v>299.99</v>
      </c>
      <c r="J174" s="3" t="s">
        <v>34</v>
      </c>
      <c r="K174" s="3" t="s">
        <v>35</v>
      </c>
      <c r="L174" s="3" t="s">
        <v>22</v>
      </c>
      <c r="M174" s="4">
        <v>44721</v>
      </c>
      <c r="N174" s="5">
        <f t="shared" si="10"/>
        <v>599.98</v>
      </c>
      <c r="O174" s="3" t="str">
        <f>TEXT(Data!$B174,"mmm")</f>
        <v>Dec</v>
      </c>
      <c r="P174" s="11">
        <f>YEAR(Data!$B174)</f>
        <v>2024</v>
      </c>
      <c r="Q174" s="12">
        <f t="shared" ca="1" si="8"/>
        <v>46122.659248495373</v>
      </c>
      <c r="R174" s="21"/>
      <c r="S174" s="19" t="str">
        <f t="shared" si="11"/>
        <v>Normal</v>
      </c>
      <c r="T174" s="26"/>
      <c r="AH174" t="str">
        <f t="shared" si="9"/>
        <v>Kev</v>
      </c>
    </row>
    <row r="175" spans="1:34" ht="15" thickBot="1">
      <c r="A175" s="22" t="s">
        <v>318</v>
      </c>
      <c r="B175" s="8">
        <v>45654</v>
      </c>
      <c r="C175" s="7" t="s">
        <v>42</v>
      </c>
      <c r="D175" s="7" t="s">
        <v>43</v>
      </c>
      <c r="E175" s="7" t="s">
        <v>105</v>
      </c>
      <c r="F175" s="7" t="s">
        <v>106</v>
      </c>
      <c r="G175" s="7" t="s">
        <v>46</v>
      </c>
      <c r="H175" s="2">
        <v>2</v>
      </c>
      <c r="I175" s="2">
        <v>299.99</v>
      </c>
      <c r="J175" s="7" t="s">
        <v>20</v>
      </c>
      <c r="K175" s="7" t="s">
        <v>50</v>
      </c>
      <c r="L175" s="7" t="s">
        <v>22</v>
      </c>
      <c r="M175" s="8">
        <v>44771</v>
      </c>
      <c r="N175" s="5">
        <f t="shared" si="10"/>
        <v>599.98</v>
      </c>
      <c r="O175" s="7" t="str">
        <f>TEXT(Data!$B175,"mmm")</f>
        <v>Dec</v>
      </c>
      <c r="P175" s="9">
        <f>YEAR(Data!$B175)</f>
        <v>2024</v>
      </c>
      <c r="Q175" s="10">
        <f t="shared" ca="1" si="8"/>
        <v>46122.659248495373</v>
      </c>
      <c r="R175" s="20"/>
      <c r="S175" s="36" t="str">
        <f t="shared" si="11"/>
        <v>Normal</v>
      </c>
      <c r="T175" s="27"/>
      <c r="AH175" t="str">
        <f t="shared" si="9"/>
        <v>Mic</v>
      </c>
    </row>
    <row r="176" spans="1:34" ht="15" thickBot="1">
      <c r="A176" s="19" t="s">
        <v>319</v>
      </c>
      <c r="B176" s="4">
        <v>45654</v>
      </c>
      <c r="C176" s="3" t="s">
        <v>120</v>
      </c>
      <c r="D176" s="3" t="s">
        <v>121</v>
      </c>
      <c r="E176" s="3" t="s">
        <v>126</v>
      </c>
      <c r="F176" s="3" t="s">
        <v>127</v>
      </c>
      <c r="G176" s="3" t="s">
        <v>46</v>
      </c>
      <c r="H176" s="5">
        <v>4</v>
      </c>
      <c r="I176" s="5">
        <v>199.99</v>
      </c>
      <c r="J176" s="3" t="s">
        <v>26</v>
      </c>
      <c r="K176" s="3" t="s">
        <v>21</v>
      </c>
      <c r="L176" s="3" t="s">
        <v>22</v>
      </c>
      <c r="M176" s="4">
        <v>44523</v>
      </c>
      <c r="N176" s="5">
        <f t="shared" si="10"/>
        <v>799.96</v>
      </c>
      <c r="O176" s="3" t="str">
        <f>TEXT(Data!$B176,"mmm")</f>
        <v>Dec</v>
      </c>
      <c r="P176" s="11">
        <f>YEAR(Data!$B176)</f>
        <v>2024</v>
      </c>
      <c r="Q176" s="12">
        <f t="shared" ca="1" si="8"/>
        <v>46122.659248495373</v>
      </c>
      <c r="R176" s="21"/>
      <c r="S176" s="19" t="str">
        <f t="shared" si="11"/>
        <v>Normal</v>
      </c>
      <c r="T176" s="26"/>
      <c r="AH176" t="str">
        <f t="shared" si="9"/>
        <v>Hel</v>
      </c>
    </row>
    <row r="177" spans="1:34" ht="15" thickBot="1">
      <c r="A177" s="22" t="s">
        <v>320</v>
      </c>
      <c r="B177" s="8">
        <v>45655</v>
      </c>
      <c r="C177" s="7" t="s">
        <v>59</v>
      </c>
      <c r="D177" s="7" t="s">
        <v>60</v>
      </c>
      <c r="E177" s="7" t="s">
        <v>117</v>
      </c>
      <c r="F177" s="7" t="s">
        <v>118</v>
      </c>
      <c r="G177" s="7" t="s">
        <v>19</v>
      </c>
      <c r="H177" s="2">
        <v>1</v>
      </c>
      <c r="I177" s="2">
        <v>89.99</v>
      </c>
      <c r="J177" s="7" t="s">
        <v>26</v>
      </c>
      <c r="K177" s="7" t="s">
        <v>35</v>
      </c>
      <c r="L177" s="7" t="s">
        <v>27</v>
      </c>
      <c r="M177" s="8">
        <v>44591</v>
      </c>
      <c r="N177" s="5">
        <f t="shared" si="10"/>
        <v>89.99</v>
      </c>
      <c r="O177" s="7" t="str">
        <f>TEXT(Data!$B177,"mmm")</f>
        <v>Dec</v>
      </c>
      <c r="P177" s="9">
        <f>YEAR(Data!$B177)</f>
        <v>2024</v>
      </c>
      <c r="Q177" s="10">
        <f t="shared" ca="1" si="8"/>
        <v>46122.659248495373</v>
      </c>
      <c r="R177" s="20"/>
      <c r="S177" s="36" t="str">
        <f t="shared" si="11"/>
        <v>Normal</v>
      </c>
      <c r="T177" s="27"/>
      <c r="AH177" t="str">
        <f t="shared" si="9"/>
        <v>Rob</v>
      </c>
    </row>
    <row r="178" spans="1:34" ht="15" thickBot="1">
      <c r="A178" s="19" t="s">
        <v>321</v>
      </c>
      <c r="B178" s="4">
        <v>45655</v>
      </c>
      <c r="C178" s="3" t="s">
        <v>108</v>
      </c>
      <c r="D178" s="3" t="s">
        <v>109</v>
      </c>
      <c r="E178" s="3" t="s">
        <v>44</v>
      </c>
      <c r="F178" s="3" t="s">
        <v>45</v>
      </c>
      <c r="G178" s="3" t="s">
        <v>46</v>
      </c>
      <c r="H178" s="5">
        <v>5</v>
      </c>
      <c r="I178" s="5">
        <v>149.99</v>
      </c>
      <c r="J178" s="3" t="s">
        <v>20</v>
      </c>
      <c r="K178" s="3" t="s">
        <v>21</v>
      </c>
      <c r="L178" s="3" t="s">
        <v>27</v>
      </c>
      <c r="M178" s="4">
        <v>45347</v>
      </c>
      <c r="N178" s="5">
        <f t="shared" si="10"/>
        <v>749.95</v>
      </c>
      <c r="O178" s="3" t="str">
        <f>TEXT(Data!$B178,"mmm")</f>
        <v>Dec</v>
      </c>
      <c r="P178" s="11">
        <f>YEAR(Data!$B178)</f>
        <v>2024</v>
      </c>
      <c r="Q178" s="12">
        <f t="shared" ca="1" si="8"/>
        <v>46122.659248495373</v>
      </c>
      <c r="R178" s="21"/>
      <c r="S178" s="19" t="str">
        <f t="shared" si="11"/>
        <v>Normal</v>
      </c>
      <c r="T178" s="26"/>
      <c r="AH178" t="str">
        <f t="shared" si="9"/>
        <v>Nan</v>
      </c>
    </row>
    <row r="179" spans="1:34" ht="15" thickBot="1">
      <c r="A179" s="22" t="s">
        <v>322</v>
      </c>
      <c r="B179" s="8">
        <v>45657</v>
      </c>
      <c r="C179" s="7" t="s">
        <v>86</v>
      </c>
      <c r="D179" s="7" t="s">
        <v>87</v>
      </c>
      <c r="E179" s="7" t="s">
        <v>61</v>
      </c>
      <c r="F179" s="7" t="s">
        <v>62</v>
      </c>
      <c r="G179" s="7" t="s">
        <v>19</v>
      </c>
      <c r="H179" s="2">
        <v>1</v>
      </c>
      <c r="I179" s="2">
        <v>899.99</v>
      </c>
      <c r="J179" s="7" t="s">
        <v>34</v>
      </c>
      <c r="K179" s="7" t="s">
        <v>40</v>
      </c>
      <c r="L179" s="7" t="s">
        <v>27</v>
      </c>
      <c r="M179" s="8">
        <v>45050</v>
      </c>
      <c r="N179" s="5">
        <f t="shared" si="10"/>
        <v>899.99</v>
      </c>
      <c r="O179" s="7" t="str">
        <f>TEXT(Data!$B179,"mmm")</f>
        <v>Dec</v>
      </c>
      <c r="P179" s="9">
        <f>YEAR(Data!$B179)</f>
        <v>2024</v>
      </c>
      <c r="Q179" s="10">
        <f t="shared" ca="1" si="8"/>
        <v>46122.659248495373</v>
      </c>
      <c r="R179" s="20"/>
      <c r="S179" s="36" t="str">
        <f t="shared" si="11"/>
        <v>Normal</v>
      </c>
      <c r="T179" s="27"/>
      <c r="AH179" t="str">
        <f t="shared" si="9"/>
        <v>Mar</v>
      </c>
    </row>
    <row r="180" spans="1:34" ht="15" thickBot="1">
      <c r="A180" s="19" t="s">
        <v>323</v>
      </c>
      <c r="B180" s="4">
        <v>45660</v>
      </c>
      <c r="C180" s="3" t="s">
        <v>147</v>
      </c>
      <c r="D180" s="3" t="s">
        <v>148</v>
      </c>
      <c r="E180" s="3" t="s">
        <v>117</v>
      </c>
      <c r="F180" s="3" t="s">
        <v>118</v>
      </c>
      <c r="G180" s="3" t="s">
        <v>19</v>
      </c>
      <c r="H180" s="5">
        <v>2</v>
      </c>
      <c r="I180" s="5">
        <v>89.99</v>
      </c>
      <c r="J180" s="3" t="s">
        <v>26</v>
      </c>
      <c r="K180" s="3" t="s">
        <v>35</v>
      </c>
      <c r="L180" s="3" t="s">
        <v>27</v>
      </c>
      <c r="M180" s="4">
        <v>44564</v>
      </c>
      <c r="N180" s="5">
        <f t="shared" si="10"/>
        <v>179.98</v>
      </c>
      <c r="O180" s="3" t="str">
        <f>TEXT(Data!$B180,"mmm")</f>
        <v>Jan</v>
      </c>
      <c r="P180" s="11">
        <f>YEAR(Data!$B180)</f>
        <v>2025</v>
      </c>
      <c r="Q180" s="12">
        <f t="shared" ca="1" si="8"/>
        <v>46122.659248495373</v>
      </c>
      <c r="R180" s="21"/>
      <c r="S180" s="19" t="str">
        <f t="shared" si="11"/>
        <v>Normal</v>
      </c>
      <c r="T180" s="26"/>
      <c r="AH180" t="str">
        <f t="shared" si="9"/>
        <v>Dan</v>
      </c>
    </row>
    <row r="181" spans="1:34" ht="15" thickBot="1">
      <c r="A181" s="22" t="s">
        <v>324</v>
      </c>
      <c r="B181" s="8">
        <v>45661</v>
      </c>
      <c r="C181" s="7" t="s">
        <v>325</v>
      </c>
      <c r="D181" s="7" t="s">
        <v>326</v>
      </c>
      <c r="E181" s="7" t="s">
        <v>61</v>
      </c>
      <c r="F181" s="7" t="s">
        <v>62</v>
      </c>
      <c r="G181" s="7" t="s">
        <v>19</v>
      </c>
      <c r="H181" s="2">
        <v>1</v>
      </c>
      <c r="I181" s="2">
        <v>899.99</v>
      </c>
      <c r="J181" s="7" t="s">
        <v>34</v>
      </c>
      <c r="K181" s="7" t="s">
        <v>40</v>
      </c>
      <c r="L181" s="7" t="s">
        <v>36</v>
      </c>
      <c r="M181" s="8">
        <v>44752</v>
      </c>
      <c r="N181" s="5">
        <f t="shared" si="10"/>
        <v>899.99</v>
      </c>
      <c r="O181" s="7" t="str">
        <f>TEXT(Data!$B181,"mmm")</f>
        <v>Jan</v>
      </c>
      <c r="P181" s="9">
        <f>YEAR(Data!$B181)</f>
        <v>2025</v>
      </c>
      <c r="Q181" s="10">
        <f t="shared" ca="1" si="8"/>
        <v>46122.659248495373</v>
      </c>
      <c r="R181" s="20"/>
      <c r="S181" s="36" t="str">
        <f t="shared" si="11"/>
        <v>Normal</v>
      </c>
      <c r="T181" s="27"/>
      <c r="AH181" t="str">
        <f t="shared" si="9"/>
        <v>Art</v>
      </c>
    </row>
    <row r="182" spans="1:34" ht="15" thickBot="1">
      <c r="A182" s="19" t="s">
        <v>327</v>
      </c>
      <c r="B182" s="4">
        <v>45663</v>
      </c>
      <c r="C182" s="3" t="s">
        <v>129</v>
      </c>
      <c r="D182" s="3" t="s">
        <v>130</v>
      </c>
      <c r="E182" s="3" t="s">
        <v>52</v>
      </c>
      <c r="F182" s="3" t="s">
        <v>53</v>
      </c>
      <c r="G182" s="3" t="s">
        <v>19</v>
      </c>
      <c r="H182" s="5">
        <v>5</v>
      </c>
      <c r="I182" s="5">
        <v>149.99</v>
      </c>
      <c r="J182" s="3" t="s">
        <v>34</v>
      </c>
      <c r="K182" s="3" t="s">
        <v>63</v>
      </c>
      <c r="L182" s="3" t="s">
        <v>27</v>
      </c>
      <c r="M182" s="4">
        <v>44824</v>
      </c>
      <c r="N182" s="5">
        <f t="shared" si="10"/>
        <v>749.95</v>
      </c>
      <c r="O182" s="3" t="str">
        <f>TEXT(Data!$B182,"mmm")</f>
        <v>Jan</v>
      </c>
      <c r="P182" s="11">
        <f>YEAR(Data!$B182)</f>
        <v>2025</v>
      </c>
      <c r="Q182" s="12">
        <f t="shared" ca="1" si="8"/>
        <v>46122.659248495373</v>
      </c>
      <c r="R182" s="21"/>
      <c r="S182" s="19" t="str">
        <f t="shared" si="11"/>
        <v>Normal</v>
      </c>
      <c r="T182" s="26"/>
      <c r="AH182" t="str">
        <f t="shared" si="9"/>
        <v>Lis</v>
      </c>
    </row>
    <row r="183" spans="1:34" ht="15" thickBot="1">
      <c r="A183" s="22" t="s">
        <v>328</v>
      </c>
      <c r="B183" s="8">
        <v>45663</v>
      </c>
      <c r="C183" s="7" t="s">
        <v>42</v>
      </c>
      <c r="D183" s="7" t="s">
        <v>43</v>
      </c>
      <c r="E183" s="7" t="s">
        <v>105</v>
      </c>
      <c r="F183" s="7" t="s">
        <v>106</v>
      </c>
      <c r="G183" s="7" t="s">
        <v>46</v>
      </c>
      <c r="H183" s="2">
        <v>3</v>
      </c>
      <c r="I183" s="2">
        <v>299.99</v>
      </c>
      <c r="J183" s="7" t="s">
        <v>20</v>
      </c>
      <c r="K183" s="7" t="s">
        <v>35</v>
      </c>
      <c r="L183" s="7" t="s">
        <v>36</v>
      </c>
      <c r="M183" s="8">
        <v>44422</v>
      </c>
      <c r="N183" s="5">
        <f t="shared" si="10"/>
        <v>899.97</v>
      </c>
      <c r="O183" s="7" t="str">
        <f>TEXT(Data!$B183,"mmm")</f>
        <v>Jan</v>
      </c>
      <c r="P183" s="9">
        <f>YEAR(Data!$B183)</f>
        <v>2025</v>
      </c>
      <c r="Q183" s="10">
        <f t="shared" ca="1" si="8"/>
        <v>46122.659248495373</v>
      </c>
      <c r="R183" s="20"/>
      <c r="S183" s="36" t="str">
        <f t="shared" si="11"/>
        <v>Normal</v>
      </c>
      <c r="T183" s="27"/>
      <c r="AH183" t="str">
        <f t="shared" si="9"/>
        <v>Mic</v>
      </c>
    </row>
    <row r="184" spans="1:34" ht="15" thickBot="1">
      <c r="A184" s="19" t="s">
        <v>329</v>
      </c>
      <c r="B184" s="4">
        <v>45666</v>
      </c>
      <c r="C184" s="3" t="s">
        <v>65</v>
      </c>
      <c r="D184" s="3" t="s">
        <v>66</v>
      </c>
      <c r="E184" s="3" t="s">
        <v>80</v>
      </c>
      <c r="F184" s="3" t="s">
        <v>81</v>
      </c>
      <c r="G184" s="3" t="s">
        <v>19</v>
      </c>
      <c r="H184" s="5">
        <v>3</v>
      </c>
      <c r="I184" s="5">
        <v>699.99</v>
      </c>
      <c r="J184" s="3" t="s">
        <v>26</v>
      </c>
      <c r="K184" s="3" t="s">
        <v>21</v>
      </c>
      <c r="L184" s="3" t="s">
        <v>27</v>
      </c>
      <c r="M184" s="4">
        <v>45105</v>
      </c>
      <c r="N184" s="5">
        <f t="shared" si="10"/>
        <v>2099.9700000000003</v>
      </c>
      <c r="O184" s="3" t="str">
        <f>TEXT(Data!$B184,"mmm")</f>
        <v>Jan</v>
      </c>
      <c r="P184" s="11">
        <f>YEAR(Data!$B184)</f>
        <v>2025</v>
      </c>
      <c r="Q184" s="12">
        <f t="shared" ca="1" si="8"/>
        <v>46122.659248495373</v>
      </c>
      <c r="R184" s="21"/>
      <c r="S184" s="19" t="str">
        <f t="shared" si="11"/>
        <v>High Value</v>
      </c>
      <c r="T184" s="26"/>
      <c r="AH184" t="str">
        <f t="shared" si="9"/>
        <v>Kar</v>
      </c>
    </row>
    <row r="185" spans="1:34" ht="15" thickBot="1">
      <c r="A185" s="22" t="s">
        <v>330</v>
      </c>
      <c r="B185" s="8">
        <v>45667</v>
      </c>
      <c r="C185" s="7" t="s">
        <v>108</v>
      </c>
      <c r="D185" s="7" t="s">
        <v>109</v>
      </c>
      <c r="E185" s="7" t="s">
        <v>126</v>
      </c>
      <c r="F185" s="7" t="s">
        <v>127</v>
      </c>
      <c r="G185" s="7" t="s">
        <v>46</v>
      </c>
      <c r="H185" s="2">
        <v>5</v>
      </c>
      <c r="I185" s="2">
        <v>199.99</v>
      </c>
      <c r="J185" s="7" t="s">
        <v>34</v>
      </c>
      <c r="K185" s="7" t="s">
        <v>21</v>
      </c>
      <c r="L185" s="7" t="s">
        <v>36</v>
      </c>
      <c r="M185" s="8">
        <v>44633</v>
      </c>
      <c r="N185" s="5">
        <f t="shared" si="10"/>
        <v>999.95</v>
      </c>
      <c r="O185" s="7" t="str">
        <f>TEXT(Data!$B185,"mmm")</f>
        <v>Jan</v>
      </c>
      <c r="P185" s="9">
        <f>YEAR(Data!$B185)</f>
        <v>2025</v>
      </c>
      <c r="Q185" s="10">
        <f t="shared" ca="1" si="8"/>
        <v>46122.659248495373</v>
      </c>
      <c r="R185" s="20"/>
      <c r="S185" s="36" t="str">
        <f t="shared" si="11"/>
        <v>Normal</v>
      </c>
      <c r="T185" s="27"/>
      <c r="AH185" t="str">
        <f t="shared" si="9"/>
        <v>Nan</v>
      </c>
    </row>
    <row r="186" spans="1:34" ht="15" thickBot="1">
      <c r="A186" s="19" t="s">
        <v>331</v>
      </c>
      <c r="B186" s="4">
        <v>45667</v>
      </c>
      <c r="C186" s="3" t="s">
        <v>93</v>
      </c>
      <c r="D186" s="3" t="s">
        <v>94</v>
      </c>
      <c r="E186" s="3" t="s">
        <v>17</v>
      </c>
      <c r="F186" s="3" t="s">
        <v>18</v>
      </c>
      <c r="G186" s="3" t="s">
        <v>19</v>
      </c>
      <c r="H186" s="5">
        <v>5</v>
      </c>
      <c r="I186" s="5">
        <v>249.99</v>
      </c>
      <c r="J186" s="3" t="s">
        <v>26</v>
      </c>
      <c r="K186" s="3" t="s">
        <v>35</v>
      </c>
      <c r="L186" s="3" t="s">
        <v>22</v>
      </c>
      <c r="M186" s="4">
        <v>45330</v>
      </c>
      <c r="N186" s="5">
        <f t="shared" si="10"/>
        <v>1249.95</v>
      </c>
      <c r="O186" s="3" t="str">
        <f>TEXT(Data!$B186,"mmm")</f>
        <v>Jan</v>
      </c>
      <c r="P186" s="11">
        <f>YEAR(Data!$B186)</f>
        <v>2025</v>
      </c>
      <c r="Q186" s="12">
        <f t="shared" ca="1" si="8"/>
        <v>46122.659248495373</v>
      </c>
      <c r="R186" s="21"/>
      <c r="S186" s="19" t="str">
        <f t="shared" si="11"/>
        <v>Normal</v>
      </c>
      <c r="T186" s="26"/>
      <c r="AH186" t="str">
        <f t="shared" si="9"/>
        <v>Vir</v>
      </c>
    </row>
    <row r="187" spans="1:34" ht="15" thickBot="1">
      <c r="A187" s="22" t="s">
        <v>332</v>
      </c>
      <c r="B187" s="8">
        <v>45668</v>
      </c>
      <c r="C187" s="7" t="s">
        <v>138</v>
      </c>
      <c r="D187" s="7" t="s">
        <v>139</v>
      </c>
      <c r="E187" s="7" t="s">
        <v>52</v>
      </c>
      <c r="F187" s="7" t="s">
        <v>53</v>
      </c>
      <c r="G187" s="7" t="s">
        <v>19</v>
      </c>
      <c r="H187" s="2">
        <v>4</v>
      </c>
      <c r="I187" s="2">
        <v>149.99</v>
      </c>
      <c r="J187" s="7" t="s">
        <v>57</v>
      </c>
      <c r="K187" s="7" t="s">
        <v>63</v>
      </c>
      <c r="L187" s="7" t="s">
        <v>36</v>
      </c>
      <c r="M187" s="8">
        <v>44536</v>
      </c>
      <c r="N187" s="5">
        <f t="shared" si="10"/>
        <v>599.96</v>
      </c>
      <c r="O187" s="7" t="str">
        <f>TEXT(Data!$B187,"mmm")</f>
        <v>Jan</v>
      </c>
      <c r="P187" s="9">
        <f>YEAR(Data!$B187)</f>
        <v>2025</v>
      </c>
      <c r="Q187" s="10">
        <f t="shared" ca="1" si="8"/>
        <v>46122.659248495373</v>
      </c>
      <c r="R187" s="20"/>
      <c r="S187" s="36" t="str">
        <f t="shared" si="11"/>
        <v>Normal</v>
      </c>
      <c r="T187" s="27"/>
      <c r="AH187" t="str">
        <f t="shared" si="9"/>
        <v>Ste</v>
      </c>
    </row>
    <row r="188" spans="1:34" ht="15" thickBot="1">
      <c r="A188" s="19" t="s">
        <v>333</v>
      </c>
      <c r="B188" s="4">
        <v>45668</v>
      </c>
      <c r="C188" s="3" t="s">
        <v>78</v>
      </c>
      <c r="D188" s="3" t="s">
        <v>79</v>
      </c>
      <c r="E188" s="3" t="s">
        <v>80</v>
      </c>
      <c r="F188" s="3" t="s">
        <v>81</v>
      </c>
      <c r="G188" s="3" t="s">
        <v>19</v>
      </c>
      <c r="H188" s="5">
        <v>3</v>
      </c>
      <c r="I188" s="5">
        <v>699.99</v>
      </c>
      <c r="J188" s="3" t="s">
        <v>20</v>
      </c>
      <c r="K188" s="3" t="s">
        <v>40</v>
      </c>
      <c r="L188" s="3" t="s">
        <v>27</v>
      </c>
      <c r="M188" s="4">
        <v>44602</v>
      </c>
      <c r="N188" s="5">
        <f t="shared" si="10"/>
        <v>2099.9700000000003</v>
      </c>
      <c r="O188" s="3" t="str">
        <f>TEXT(Data!$B188,"mmm")</f>
        <v>Jan</v>
      </c>
      <c r="P188" s="11">
        <f>YEAR(Data!$B188)</f>
        <v>2025</v>
      </c>
      <c r="Q188" s="12">
        <f t="shared" ca="1" si="8"/>
        <v>46122.659248495373</v>
      </c>
      <c r="R188" s="21"/>
      <c r="S188" s="19" t="str">
        <f t="shared" si="11"/>
        <v>High Value</v>
      </c>
      <c r="T188" s="26"/>
      <c r="AH188" t="str">
        <f t="shared" si="9"/>
        <v>Mic</v>
      </c>
    </row>
    <row r="189" spans="1:34" ht="15" thickBot="1">
      <c r="A189" s="22" t="s">
        <v>334</v>
      </c>
      <c r="B189" s="8">
        <v>45670</v>
      </c>
      <c r="C189" s="7" t="s">
        <v>293</v>
      </c>
      <c r="D189" s="7" t="s">
        <v>294</v>
      </c>
      <c r="E189" s="7" t="s">
        <v>114</v>
      </c>
      <c r="F189" s="7" t="s">
        <v>115</v>
      </c>
      <c r="G189" s="7" t="s">
        <v>33</v>
      </c>
      <c r="H189" s="2">
        <v>1</v>
      </c>
      <c r="I189" s="2">
        <v>79.989999999999995</v>
      </c>
      <c r="J189" s="7" t="s">
        <v>26</v>
      </c>
      <c r="K189" s="7" t="s">
        <v>35</v>
      </c>
      <c r="L189" s="7" t="s">
        <v>22</v>
      </c>
      <c r="M189" s="8">
        <v>45322</v>
      </c>
      <c r="N189" s="5">
        <f t="shared" si="10"/>
        <v>79.989999999999995</v>
      </c>
      <c r="O189" s="7" t="str">
        <f>TEXT(Data!$B189,"mmm")</f>
        <v>Jan</v>
      </c>
      <c r="P189" s="9">
        <f>YEAR(Data!$B189)</f>
        <v>2025</v>
      </c>
      <c r="Q189" s="10">
        <f t="shared" ca="1" si="8"/>
        <v>46122.659248495373</v>
      </c>
      <c r="R189" s="20"/>
      <c r="S189" s="36" t="str">
        <f t="shared" si="11"/>
        <v>Normal</v>
      </c>
      <c r="T189" s="27"/>
      <c r="AH189" t="str">
        <f t="shared" si="9"/>
        <v>Dou</v>
      </c>
    </row>
    <row r="190" spans="1:34" ht="15" thickBot="1">
      <c r="A190" s="19" t="s">
        <v>335</v>
      </c>
      <c r="B190" s="4">
        <v>45670</v>
      </c>
      <c r="C190" s="3" t="s">
        <v>86</v>
      </c>
      <c r="D190" s="3" t="s">
        <v>87</v>
      </c>
      <c r="E190" s="3" t="s">
        <v>105</v>
      </c>
      <c r="F190" s="3" t="s">
        <v>106</v>
      </c>
      <c r="G190" s="3" t="s">
        <v>46</v>
      </c>
      <c r="H190" s="5">
        <v>1</v>
      </c>
      <c r="I190" s="5">
        <v>299.99</v>
      </c>
      <c r="J190" s="3" t="s">
        <v>26</v>
      </c>
      <c r="K190" s="3" t="s">
        <v>40</v>
      </c>
      <c r="L190" s="3" t="s">
        <v>22</v>
      </c>
      <c r="M190" s="4">
        <v>44436</v>
      </c>
      <c r="N190" s="5">
        <f t="shared" si="10"/>
        <v>299.99</v>
      </c>
      <c r="O190" s="3" t="str">
        <f>TEXT(Data!$B190,"mmm")</f>
        <v>Jan</v>
      </c>
      <c r="P190" s="11">
        <f>YEAR(Data!$B190)</f>
        <v>2025</v>
      </c>
      <c r="Q190" s="12">
        <f t="shared" ca="1" si="8"/>
        <v>46122.659248495373</v>
      </c>
      <c r="R190" s="21"/>
      <c r="S190" s="19" t="str">
        <f t="shared" si="11"/>
        <v>Normal</v>
      </c>
      <c r="T190" s="26"/>
      <c r="AH190" t="str">
        <f t="shared" si="9"/>
        <v>Mar</v>
      </c>
    </row>
    <row r="191" spans="1:34" ht="15" thickBot="1">
      <c r="A191" s="22" t="s">
        <v>336</v>
      </c>
      <c r="B191" s="8">
        <v>45671</v>
      </c>
      <c r="C191" s="7" t="s">
        <v>158</v>
      </c>
      <c r="D191" s="7" t="s">
        <v>159</v>
      </c>
      <c r="E191" s="7" t="s">
        <v>17</v>
      </c>
      <c r="F191" s="7" t="s">
        <v>18</v>
      </c>
      <c r="G191" s="7" t="s">
        <v>19</v>
      </c>
      <c r="H191" s="2">
        <v>4</v>
      </c>
      <c r="I191" s="2">
        <v>249.99</v>
      </c>
      <c r="J191" s="7" t="s">
        <v>26</v>
      </c>
      <c r="K191" s="7" t="s">
        <v>40</v>
      </c>
      <c r="L191" s="7" t="s">
        <v>27</v>
      </c>
      <c r="M191" s="8">
        <v>44460</v>
      </c>
      <c r="N191" s="5">
        <f t="shared" si="10"/>
        <v>999.96</v>
      </c>
      <c r="O191" s="7" t="str">
        <f>TEXT(Data!$B191,"mmm")</f>
        <v>Jan</v>
      </c>
      <c r="P191" s="9">
        <f>YEAR(Data!$B191)</f>
        <v>2025</v>
      </c>
      <c r="Q191" s="10">
        <f t="shared" ca="1" si="8"/>
        <v>46122.659248495373</v>
      </c>
      <c r="R191" s="20"/>
      <c r="S191" s="36" t="str">
        <f t="shared" si="11"/>
        <v>Normal</v>
      </c>
      <c r="T191" s="27"/>
      <c r="AH191" t="str">
        <f t="shared" si="9"/>
        <v>Bet</v>
      </c>
    </row>
    <row r="192" spans="1:34" ht="15" thickBot="1">
      <c r="A192" s="19" t="s">
        <v>337</v>
      </c>
      <c r="B192" s="4">
        <v>45671</v>
      </c>
      <c r="C192" s="3" t="s">
        <v>120</v>
      </c>
      <c r="D192" s="3" t="s">
        <v>121</v>
      </c>
      <c r="E192" s="3" t="s">
        <v>52</v>
      </c>
      <c r="F192" s="3" t="s">
        <v>53</v>
      </c>
      <c r="G192" s="3" t="s">
        <v>19</v>
      </c>
      <c r="H192" s="5">
        <v>2</v>
      </c>
      <c r="I192" s="5">
        <v>149.99</v>
      </c>
      <c r="J192" s="3" t="s">
        <v>20</v>
      </c>
      <c r="K192" s="3" t="s">
        <v>40</v>
      </c>
      <c r="L192" s="3" t="s">
        <v>36</v>
      </c>
      <c r="M192" s="4">
        <v>44913</v>
      </c>
      <c r="N192" s="5">
        <f t="shared" si="10"/>
        <v>299.98</v>
      </c>
      <c r="O192" s="3" t="str">
        <f>TEXT(Data!$B192,"mmm")</f>
        <v>Jan</v>
      </c>
      <c r="P192" s="11">
        <f>YEAR(Data!$B192)</f>
        <v>2025</v>
      </c>
      <c r="Q192" s="12">
        <f t="shared" ca="1" si="8"/>
        <v>46122.659248495373</v>
      </c>
      <c r="R192" s="21"/>
      <c r="S192" s="19" t="str">
        <f t="shared" si="11"/>
        <v>Normal</v>
      </c>
      <c r="T192" s="26"/>
      <c r="AH192" t="str">
        <f t="shared" si="9"/>
        <v>Hel</v>
      </c>
    </row>
    <row r="193" spans="1:34" ht="15" thickBot="1">
      <c r="A193" s="22" t="s">
        <v>338</v>
      </c>
      <c r="B193" s="8">
        <v>45671</v>
      </c>
      <c r="C193" s="7" t="s">
        <v>234</v>
      </c>
      <c r="D193" s="7" t="s">
        <v>235</v>
      </c>
      <c r="E193" s="7" t="s">
        <v>105</v>
      </c>
      <c r="F193" s="7" t="s">
        <v>106</v>
      </c>
      <c r="G193" s="7" t="s">
        <v>46</v>
      </c>
      <c r="H193" s="2">
        <v>3</v>
      </c>
      <c r="I193" s="2">
        <v>299.99</v>
      </c>
      <c r="J193" s="7" t="s">
        <v>26</v>
      </c>
      <c r="K193" s="7" t="s">
        <v>35</v>
      </c>
      <c r="L193" s="7" t="s">
        <v>22</v>
      </c>
      <c r="M193" s="8">
        <v>45204</v>
      </c>
      <c r="N193" s="5">
        <f t="shared" si="10"/>
        <v>899.97</v>
      </c>
      <c r="O193" s="7" t="str">
        <f>TEXT(Data!$B193,"mmm")</f>
        <v>Jan</v>
      </c>
      <c r="P193" s="9">
        <f>YEAR(Data!$B193)</f>
        <v>2025</v>
      </c>
      <c r="Q193" s="10">
        <f t="shared" ca="1" si="8"/>
        <v>46122.659248495373</v>
      </c>
      <c r="R193" s="20"/>
      <c r="S193" s="36" t="str">
        <f t="shared" si="11"/>
        <v>Normal</v>
      </c>
      <c r="T193" s="27"/>
      <c r="AH193" t="str">
        <f t="shared" si="9"/>
        <v>San</v>
      </c>
    </row>
    <row r="194" spans="1:34" ht="15" thickBot="1">
      <c r="A194" s="19" t="s">
        <v>339</v>
      </c>
      <c r="B194" s="4">
        <v>45673</v>
      </c>
      <c r="C194" s="3" t="s">
        <v>226</v>
      </c>
      <c r="D194" s="3" t="s">
        <v>227</v>
      </c>
      <c r="E194" s="3" t="s">
        <v>126</v>
      </c>
      <c r="F194" s="3" t="s">
        <v>127</v>
      </c>
      <c r="G194" s="3" t="s">
        <v>46</v>
      </c>
      <c r="H194" s="5">
        <v>4</v>
      </c>
      <c r="I194" s="5">
        <v>199.99</v>
      </c>
      <c r="J194" s="3" t="s">
        <v>57</v>
      </c>
      <c r="K194" s="3" t="s">
        <v>35</v>
      </c>
      <c r="L194" s="3" t="s">
        <v>36</v>
      </c>
      <c r="M194" s="4">
        <v>44544</v>
      </c>
      <c r="N194" s="5">
        <f t="shared" si="10"/>
        <v>799.96</v>
      </c>
      <c r="O194" s="3" t="str">
        <f>TEXT(Data!$B194,"mmm")</f>
        <v>Jan</v>
      </c>
      <c r="P194" s="11">
        <f>YEAR(Data!$B194)</f>
        <v>2025</v>
      </c>
      <c r="Q194" s="12">
        <f t="shared" ref="Q194:Q251" ca="1" si="12">NOW()</f>
        <v>46122.659248495373</v>
      </c>
      <c r="R194" s="21"/>
      <c r="S194" s="19" t="str">
        <f t="shared" si="11"/>
        <v>Normal</v>
      </c>
      <c r="T194" s="26"/>
      <c r="AH194" t="str">
        <f t="shared" ref="AH194:AH251" si="13">LEFT(D194,3)</f>
        <v>Law</v>
      </c>
    </row>
    <row r="195" spans="1:34" ht="15" thickBot="1">
      <c r="A195" s="22" t="s">
        <v>340</v>
      </c>
      <c r="B195" s="8">
        <v>45673</v>
      </c>
      <c r="C195" s="7" t="s">
        <v>211</v>
      </c>
      <c r="D195" s="7" t="s">
        <v>212</v>
      </c>
      <c r="E195" s="7" t="s">
        <v>105</v>
      </c>
      <c r="F195" s="7" t="s">
        <v>106</v>
      </c>
      <c r="G195" s="7" t="s">
        <v>46</v>
      </c>
      <c r="H195" s="2">
        <v>5</v>
      </c>
      <c r="I195" s="2">
        <v>299.99</v>
      </c>
      <c r="J195" s="7" t="s">
        <v>57</v>
      </c>
      <c r="K195" s="7" t="s">
        <v>21</v>
      </c>
      <c r="L195" s="7" t="s">
        <v>22</v>
      </c>
      <c r="M195" s="8">
        <v>44431</v>
      </c>
      <c r="N195" s="5">
        <f t="shared" ref="N195:N251" si="14">H195*I195</f>
        <v>1499.95</v>
      </c>
      <c r="O195" s="7" t="str">
        <f>TEXT(Data!$B195,"mmm")</f>
        <v>Jan</v>
      </c>
      <c r="P195" s="9">
        <f>YEAR(Data!$B195)</f>
        <v>2025</v>
      </c>
      <c r="Q195" s="10">
        <f t="shared" ca="1" si="12"/>
        <v>46122.659248495373</v>
      </c>
      <c r="R195" s="20"/>
      <c r="S195" s="36" t="str">
        <f t="shared" ref="S195:S251" si="15">IF(N195&gt;2000,"High Value","Normal")</f>
        <v>Normal</v>
      </c>
      <c r="T195" s="27"/>
      <c r="AH195" t="str">
        <f t="shared" si="13"/>
        <v>Eli</v>
      </c>
    </row>
    <row r="196" spans="1:34" ht="15" thickBot="1">
      <c r="A196" s="19" t="s">
        <v>341</v>
      </c>
      <c r="B196" s="4">
        <v>45673</v>
      </c>
      <c r="C196" s="3" t="s">
        <v>59</v>
      </c>
      <c r="D196" s="3" t="s">
        <v>60</v>
      </c>
      <c r="E196" s="3" t="s">
        <v>44</v>
      </c>
      <c r="F196" s="3" t="s">
        <v>45</v>
      </c>
      <c r="G196" s="3" t="s">
        <v>46</v>
      </c>
      <c r="H196" s="5">
        <v>3</v>
      </c>
      <c r="I196" s="5">
        <v>149.99</v>
      </c>
      <c r="J196" s="3" t="s">
        <v>26</v>
      </c>
      <c r="K196" s="3" t="s">
        <v>63</v>
      </c>
      <c r="L196" s="3" t="s">
        <v>36</v>
      </c>
      <c r="M196" s="4">
        <v>44395</v>
      </c>
      <c r="N196" s="5">
        <f t="shared" si="14"/>
        <v>449.97</v>
      </c>
      <c r="O196" s="3" t="str">
        <f>TEXT(Data!$B196,"mmm")</f>
        <v>Jan</v>
      </c>
      <c r="P196" s="11">
        <f>YEAR(Data!$B196)</f>
        <v>2025</v>
      </c>
      <c r="Q196" s="12">
        <f t="shared" ca="1" si="12"/>
        <v>46122.659248495373</v>
      </c>
      <c r="R196" s="21"/>
      <c r="S196" s="19" t="str">
        <f t="shared" si="15"/>
        <v>Normal</v>
      </c>
      <c r="T196" s="26"/>
      <c r="AH196" t="str">
        <f t="shared" si="13"/>
        <v>Rob</v>
      </c>
    </row>
    <row r="197" spans="1:34" ht="15" thickBot="1">
      <c r="A197" s="22" t="s">
        <v>342</v>
      </c>
      <c r="B197" s="8">
        <v>45676</v>
      </c>
      <c r="C197" s="7" t="s">
        <v>129</v>
      </c>
      <c r="D197" s="7" t="s">
        <v>130</v>
      </c>
      <c r="E197" s="7" t="s">
        <v>31</v>
      </c>
      <c r="F197" s="7" t="s">
        <v>32</v>
      </c>
      <c r="G197" s="7" t="s">
        <v>33</v>
      </c>
      <c r="H197" s="2">
        <v>5</v>
      </c>
      <c r="I197" s="2">
        <v>59.99</v>
      </c>
      <c r="J197" s="7" t="s">
        <v>57</v>
      </c>
      <c r="K197" s="7" t="s">
        <v>63</v>
      </c>
      <c r="L197" s="7" t="s">
        <v>22</v>
      </c>
      <c r="M197" s="8">
        <v>44642</v>
      </c>
      <c r="N197" s="5">
        <f t="shared" si="14"/>
        <v>299.95</v>
      </c>
      <c r="O197" s="7" t="str">
        <f>TEXT(Data!$B197,"mmm")</f>
        <v>Jan</v>
      </c>
      <c r="P197" s="9">
        <f>YEAR(Data!$B197)</f>
        <v>2025</v>
      </c>
      <c r="Q197" s="10">
        <f t="shared" ca="1" si="12"/>
        <v>46122.659248495373</v>
      </c>
      <c r="R197" s="20"/>
      <c r="S197" s="36" t="str">
        <f t="shared" si="15"/>
        <v>Normal</v>
      </c>
      <c r="T197" s="27"/>
      <c r="AH197" t="str">
        <f t="shared" si="13"/>
        <v>Lis</v>
      </c>
    </row>
    <row r="198" spans="1:34" ht="15" thickBot="1">
      <c r="A198" s="19" t="s">
        <v>343</v>
      </c>
      <c r="B198" s="4">
        <v>45682</v>
      </c>
      <c r="C198" s="3" t="s">
        <v>68</v>
      </c>
      <c r="D198" s="3" t="s">
        <v>69</v>
      </c>
      <c r="E198" s="3" t="s">
        <v>31</v>
      </c>
      <c r="F198" s="3" t="s">
        <v>32</v>
      </c>
      <c r="G198" s="3" t="s">
        <v>33</v>
      </c>
      <c r="H198" s="5">
        <v>4</v>
      </c>
      <c r="I198" s="5">
        <v>59.99</v>
      </c>
      <c r="J198" s="3" t="s">
        <v>57</v>
      </c>
      <c r="K198" s="3" t="s">
        <v>63</v>
      </c>
      <c r="L198" s="3" t="s">
        <v>36</v>
      </c>
      <c r="M198" s="4">
        <v>44564</v>
      </c>
      <c r="N198" s="5">
        <f t="shared" si="14"/>
        <v>239.96</v>
      </c>
      <c r="O198" s="3" t="str">
        <f>TEXT(Data!$B198,"mmm")</f>
        <v>Jan</v>
      </c>
      <c r="P198" s="11">
        <f>YEAR(Data!$B198)</f>
        <v>2025</v>
      </c>
      <c r="Q198" s="12">
        <f t="shared" ca="1" si="12"/>
        <v>46122.659248495373</v>
      </c>
      <c r="R198" s="21"/>
      <c r="S198" s="19" t="str">
        <f t="shared" si="15"/>
        <v>Normal</v>
      </c>
      <c r="T198" s="26"/>
      <c r="AH198" t="str">
        <f t="shared" si="13"/>
        <v>Sus</v>
      </c>
    </row>
    <row r="199" spans="1:34" ht="15" thickBot="1">
      <c r="A199" s="22" t="s">
        <v>344</v>
      </c>
      <c r="B199" s="8">
        <v>45683</v>
      </c>
      <c r="C199" s="7" t="s">
        <v>48</v>
      </c>
      <c r="D199" s="7" t="s">
        <v>49</v>
      </c>
      <c r="E199" s="7" t="s">
        <v>17</v>
      </c>
      <c r="F199" s="7" t="s">
        <v>18</v>
      </c>
      <c r="G199" s="7" t="s">
        <v>19</v>
      </c>
      <c r="H199" s="2">
        <v>4</v>
      </c>
      <c r="I199" s="2">
        <v>249.99</v>
      </c>
      <c r="J199" s="7" t="s">
        <v>57</v>
      </c>
      <c r="K199" s="7" t="s">
        <v>21</v>
      </c>
      <c r="L199" s="7" t="s">
        <v>27</v>
      </c>
      <c r="M199" s="8">
        <v>45217</v>
      </c>
      <c r="N199" s="5">
        <f t="shared" si="14"/>
        <v>999.96</v>
      </c>
      <c r="O199" s="7" t="str">
        <f>TEXT(Data!$B199,"mmm")</f>
        <v>Jan</v>
      </c>
      <c r="P199" s="9">
        <f>YEAR(Data!$B199)</f>
        <v>2025</v>
      </c>
      <c r="Q199" s="10">
        <f t="shared" ca="1" si="12"/>
        <v>46122.659248495373</v>
      </c>
      <c r="R199" s="20"/>
      <c r="S199" s="36" t="str">
        <f t="shared" si="15"/>
        <v>Normal</v>
      </c>
      <c r="T199" s="27"/>
      <c r="AH199" t="str">
        <f t="shared" si="13"/>
        <v>Dor</v>
      </c>
    </row>
    <row r="200" spans="1:34" ht="15" thickBot="1">
      <c r="A200" s="19" t="s">
        <v>345</v>
      </c>
      <c r="B200" s="4">
        <v>45686</v>
      </c>
      <c r="C200" s="3" t="s">
        <v>252</v>
      </c>
      <c r="D200" s="3" t="s">
        <v>253</v>
      </c>
      <c r="E200" s="3" t="s">
        <v>61</v>
      </c>
      <c r="F200" s="3" t="s">
        <v>62</v>
      </c>
      <c r="G200" s="3" t="s">
        <v>19</v>
      </c>
      <c r="H200" s="5">
        <v>4</v>
      </c>
      <c r="I200" s="5">
        <v>899.99</v>
      </c>
      <c r="J200" s="3" t="s">
        <v>34</v>
      </c>
      <c r="K200" s="3" t="s">
        <v>21</v>
      </c>
      <c r="L200" s="3" t="s">
        <v>22</v>
      </c>
      <c r="M200" s="4">
        <v>44734</v>
      </c>
      <c r="N200" s="5">
        <f t="shared" si="14"/>
        <v>3599.96</v>
      </c>
      <c r="O200" s="3" t="str">
        <f>TEXT(Data!$B200,"mmm")</f>
        <v>Jan</v>
      </c>
      <c r="P200" s="11">
        <f>YEAR(Data!$B200)</f>
        <v>2025</v>
      </c>
      <c r="Q200" s="12">
        <f t="shared" ca="1" si="12"/>
        <v>46122.659248495373</v>
      </c>
      <c r="R200" s="21"/>
      <c r="S200" s="19" t="str">
        <f t="shared" si="15"/>
        <v>High Value</v>
      </c>
      <c r="T200" s="26"/>
      <c r="AH200" t="str">
        <f t="shared" si="13"/>
        <v>Wil</v>
      </c>
    </row>
    <row r="201" spans="1:34" ht="15" thickBot="1">
      <c r="A201" s="22" t="s">
        <v>346</v>
      </c>
      <c r="B201" s="8">
        <v>45686</v>
      </c>
      <c r="C201" s="7" t="s">
        <v>86</v>
      </c>
      <c r="D201" s="7" t="s">
        <v>87</v>
      </c>
      <c r="E201" s="7" t="s">
        <v>105</v>
      </c>
      <c r="F201" s="7" t="s">
        <v>106</v>
      </c>
      <c r="G201" s="7" t="s">
        <v>46</v>
      </c>
      <c r="H201" s="2">
        <v>3</v>
      </c>
      <c r="I201" s="2">
        <v>299.99</v>
      </c>
      <c r="J201" s="7" t="s">
        <v>57</v>
      </c>
      <c r="K201" s="7" t="s">
        <v>50</v>
      </c>
      <c r="L201" s="7" t="s">
        <v>36</v>
      </c>
      <c r="M201" s="8">
        <v>44952</v>
      </c>
      <c r="N201" s="5">
        <f t="shared" si="14"/>
        <v>899.97</v>
      </c>
      <c r="O201" s="7" t="str">
        <f>TEXT(Data!$B201,"mmm")</f>
        <v>Jan</v>
      </c>
      <c r="P201" s="9">
        <f>YEAR(Data!$B201)</f>
        <v>2025</v>
      </c>
      <c r="Q201" s="10">
        <f t="shared" ca="1" si="12"/>
        <v>46122.659248495373</v>
      </c>
      <c r="R201" s="20"/>
      <c r="S201" s="36" t="str">
        <f t="shared" si="15"/>
        <v>Normal</v>
      </c>
      <c r="T201" s="27"/>
      <c r="AH201" t="str">
        <f t="shared" si="13"/>
        <v>Mar</v>
      </c>
    </row>
    <row r="202" spans="1:34" ht="15" thickBot="1">
      <c r="A202" s="19" t="s">
        <v>347</v>
      </c>
      <c r="B202" s="4">
        <v>45686</v>
      </c>
      <c r="C202" s="3" t="s">
        <v>293</v>
      </c>
      <c r="D202" s="3" t="s">
        <v>294</v>
      </c>
      <c r="E202" s="3" t="s">
        <v>80</v>
      </c>
      <c r="F202" s="3" t="s">
        <v>81</v>
      </c>
      <c r="G202" s="3" t="s">
        <v>19</v>
      </c>
      <c r="H202" s="5">
        <v>2</v>
      </c>
      <c r="I202" s="5">
        <v>699.99</v>
      </c>
      <c r="J202" s="3" t="s">
        <v>57</v>
      </c>
      <c r="K202" s="3" t="s">
        <v>21</v>
      </c>
      <c r="L202" s="3" t="s">
        <v>27</v>
      </c>
      <c r="M202" s="4">
        <v>44681</v>
      </c>
      <c r="N202" s="5">
        <f t="shared" si="14"/>
        <v>1399.98</v>
      </c>
      <c r="O202" s="3" t="str">
        <f>TEXT(Data!$B202,"mmm")</f>
        <v>Jan</v>
      </c>
      <c r="P202" s="11">
        <f>YEAR(Data!$B202)</f>
        <v>2025</v>
      </c>
      <c r="Q202" s="12">
        <f t="shared" ca="1" si="12"/>
        <v>46122.659248495373</v>
      </c>
      <c r="R202" s="21"/>
      <c r="S202" s="19" t="str">
        <f t="shared" si="15"/>
        <v>Normal</v>
      </c>
      <c r="T202" s="26"/>
      <c r="AH202" t="str">
        <f t="shared" si="13"/>
        <v>Dou</v>
      </c>
    </row>
    <row r="203" spans="1:34" ht="15" thickBot="1">
      <c r="A203" s="22" t="s">
        <v>348</v>
      </c>
      <c r="B203" s="8">
        <v>45688</v>
      </c>
      <c r="C203" s="7" t="s">
        <v>65</v>
      </c>
      <c r="D203" s="7" t="s">
        <v>66</v>
      </c>
      <c r="E203" s="7" t="s">
        <v>80</v>
      </c>
      <c r="F203" s="7" t="s">
        <v>81</v>
      </c>
      <c r="G203" s="7" t="s">
        <v>19</v>
      </c>
      <c r="H203" s="2">
        <v>4</v>
      </c>
      <c r="I203" s="2">
        <v>699.99</v>
      </c>
      <c r="J203" s="7" t="s">
        <v>57</v>
      </c>
      <c r="K203" s="7" t="s">
        <v>50</v>
      </c>
      <c r="L203" s="7" t="s">
        <v>27</v>
      </c>
      <c r="M203" s="8">
        <v>44692</v>
      </c>
      <c r="N203" s="5">
        <f t="shared" si="14"/>
        <v>2799.96</v>
      </c>
      <c r="O203" s="7" t="str">
        <f>TEXT(Data!$B203,"mmm")</f>
        <v>Jan</v>
      </c>
      <c r="P203" s="9">
        <f>YEAR(Data!$B203)</f>
        <v>2025</v>
      </c>
      <c r="Q203" s="10">
        <f t="shared" ca="1" si="12"/>
        <v>46122.659248495373</v>
      </c>
      <c r="R203" s="20"/>
      <c r="S203" s="36" t="str">
        <f t="shared" si="15"/>
        <v>High Value</v>
      </c>
      <c r="T203" s="27"/>
      <c r="AH203" t="str">
        <f t="shared" si="13"/>
        <v>Kar</v>
      </c>
    </row>
    <row r="204" spans="1:34" ht="15" thickBot="1">
      <c r="A204" s="19" t="s">
        <v>349</v>
      </c>
      <c r="B204" s="4">
        <v>45688</v>
      </c>
      <c r="C204" s="3" t="s">
        <v>123</v>
      </c>
      <c r="D204" s="3" t="s">
        <v>124</v>
      </c>
      <c r="E204" s="3" t="s">
        <v>117</v>
      </c>
      <c r="F204" s="3" t="s">
        <v>118</v>
      </c>
      <c r="G204" s="3" t="s">
        <v>19</v>
      </c>
      <c r="H204" s="5">
        <v>2</v>
      </c>
      <c r="I204" s="5">
        <v>89.99</v>
      </c>
      <c r="J204" s="3" t="s">
        <v>57</v>
      </c>
      <c r="K204" s="3" t="s">
        <v>35</v>
      </c>
      <c r="L204" s="3" t="s">
        <v>22</v>
      </c>
      <c r="M204" s="4">
        <v>44777</v>
      </c>
      <c r="N204" s="5">
        <f t="shared" si="14"/>
        <v>179.98</v>
      </c>
      <c r="O204" s="3" t="str">
        <f>TEXT(Data!$B204,"mmm")</f>
        <v>Jan</v>
      </c>
      <c r="P204" s="11">
        <f>YEAR(Data!$B204)</f>
        <v>2025</v>
      </c>
      <c r="Q204" s="12">
        <f t="shared" ca="1" si="12"/>
        <v>46122.659248495373</v>
      </c>
      <c r="R204" s="21"/>
      <c r="S204" s="19" t="str">
        <f t="shared" si="15"/>
        <v>Normal</v>
      </c>
      <c r="T204" s="26"/>
      <c r="AH204" t="str">
        <f t="shared" si="13"/>
        <v>Edw</v>
      </c>
    </row>
    <row r="205" spans="1:34" ht="15" thickBot="1">
      <c r="A205" s="22" t="s">
        <v>350</v>
      </c>
      <c r="B205" s="8">
        <v>45688</v>
      </c>
      <c r="C205" s="7" t="s">
        <v>42</v>
      </c>
      <c r="D205" s="7" t="s">
        <v>43</v>
      </c>
      <c r="E205" s="7" t="s">
        <v>117</v>
      </c>
      <c r="F205" s="7" t="s">
        <v>118</v>
      </c>
      <c r="G205" s="7" t="s">
        <v>19</v>
      </c>
      <c r="H205" s="2">
        <v>3</v>
      </c>
      <c r="I205" s="2">
        <v>89.99</v>
      </c>
      <c r="J205" s="7" t="s">
        <v>57</v>
      </c>
      <c r="K205" s="7" t="s">
        <v>35</v>
      </c>
      <c r="L205" s="7" t="s">
        <v>27</v>
      </c>
      <c r="M205" s="8">
        <v>45307</v>
      </c>
      <c r="N205" s="5">
        <f t="shared" si="14"/>
        <v>269.96999999999997</v>
      </c>
      <c r="O205" s="7" t="str">
        <f>TEXT(Data!$B205,"mmm")</f>
        <v>Jan</v>
      </c>
      <c r="P205" s="9">
        <f>YEAR(Data!$B205)</f>
        <v>2025</v>
      </c>
      <c r="Q205" s="10">
        <f t="shared" ca="1" si="12"/>
        <v>46122.659248495373</v>
      </c>
      <c r="R205" s="20"/>
      <c r="S205" s="36" t="str">
        <f t="shared" si="15"/>
        <v>Normal</v>
      </c>
      <c r="T205" s="27"/>
      <c r="AH205" t="str">
        <f t="shared" si="13"/>
        <v>Mic</v>
      </c>
    </row>
    <row r="206" spans="1:34" ht="15" thickBot="1">
      <c r="A206" s="19" t="s">
        <v>351</v>
      </c>
      <c r="B206" s="4">
        <v>45692</v>
      </c>
      <c r="C206" s="3" t="s">
        <v>325</v>
      </c>
      <c r="D206" s="3" t="s">
        <v>326</v>
      </c>
      <c r="E206" s="3" t="s">
        <v>31</v>
      </c>
      <c r="F206" s="3" t="s">
        <v>32</v>
      </c>
      <c r="G206" s="3" t="s">
        <v>33</v>
      </c>
      <c r="H206" s="5">
        <v>1</v>
      </c>
      <c r="I206" s="5">
        <v>59.99</v>
      </c>
      <c r="J206" s="3" t="s">
        <v>57</v>
      </c>
      <c r="K206" s="3" t="s">
        <v>21</v>
      </c>
      <c r="L206" s="3" t="s">
        <v>36</v>
      </c>
      <c r="M206" s="4">
        <v>45045</v>
      </c>
      <c r="N206" s="5">
        <f t="shared" si="14"/>
        <v>59.99</v>
      </c>
      <c r="O206" s="3" t="str">
        <f>TEXT(Data!$B206,"mmm")</f>
        <v>Feb</v>
      </c>
      <c r="P206" s="11">
        <f>YEAR(Data!$B206)</f>
        <v>2025</v>
      </c>
      <c r="Q206" s="12">
        <f t="shared" ca="1" si="12"/>
        <v>46122.659248495373</v>
      </c>
      <c r="R206" s="21"/>
      <c r="S206" s="19" t="str">
        <f t="shared" si="15"/>
        <v>Normal</v>
      </c>
      <c r="T206" s="26"/>
      <c r="AH206" t="str">
        <f t="shared" si="13"/>
        <v>Art</v>
      </c>
    </row>
    <row r="207" spans="1:34" ht="15" thickBot="1">
      <c r="A207" s="22" t="s">
        <v>352</v>
      </c>
      <c r="B207" s="8">
        <v>45695</v>
      </c>
      <c r="C207" s="7" t="s">
        <v>246</v>
      </c>
      <c r="D207" s="7" t="s">
        <v>247</v>
      </c>
      <c r="E207" s="7" t="s">
        <v>44</v>
      </c>
      <c r="F207" s="7" t="s">
        <v>45</v>
      </c>
      <c r="G207" s="7" t="s">
        <v>46</v>
      </c>
      <c r="H207" s="2">
        <v>3</v>
      </c>
      <c r="I207" s="2">
        <v>149.99</v>
      </c>
      <c r="J207" s="7" t="s">
        <v>57</v>
      </c>
      <c r="K207" s="7" t="s">
        <v>40</v>
      </c>
      <c r="L207" s="7" t="s">
        <v>27</v>
      </c>
      <c r="M207" s="8">
        <v>44564</v>
      </c>
      <c r="N207" s="5">
        <f t="shared" si="14"/>
        <v>449.97</v>
      </c>
      <c r="O207" s="7" t="str">
        <f>TEXT(Data!$B207,"mmm")</f>
        <v>Feb</v>
      </c>
      <c r="P207" s="9">
        <f>YEAR(Data!$B207)</f>
        <v>2025</v>
      </c>
      <c r="Q207" s="10">
        <f t="shared" ca="1" si="12"/>
        <v>46122.659248495373</v>
      </c>
      <c r="R207" s="20"/>
      <c r="S207" s="36" t="str">
        <f t="shared" si="15"/>
        <v>Normal</v>
      </c>
      <c r="T207" s="27"/>
      <c r="AH207" t="str">
        <f t="shared" si="13"/>
        <v>Rut</v>
      </c>
    </row>
    <row r="208" spans="1:34" ht="15" thickBot="1">
      <c r="A208" s="19" t="s">
        <v>353</v>
      </c>
      <c r="B208" s="4">
        <v>45695</v>
      </c>
      <c r="C208" s="3" t="s">
        <v>93</v>
      </c>
      <c r="D208" s="3" t="s">
        <v>94</v>
      </c>
      <c r="E208" s="3" t="s">
        <v>105</v>
      </c>
      <c r="F208" s="3" t="s">
        <v>106</v>
      </c>
      <c r="G208" s="3" t="s">
        <v>46</v>
      </c>
      <c r="H208" s="5">
        <v>5</v>
      </c>
      <c r="I208" s="5">
        <v>299.99</v>
      </c>
      <c r="J208" s="3" t="s">
        <v>26</v>
      </c>
      <c r="K208" s="3" t="s">
        <v>35</v>
      </c>
      <c r="L208" s="3" t="s">
        <v>22</v>
      </c>
      <c r="M208" s="4">
        <v>44959</v>
      </c>
      <c r="N208" s="5">
        <f t="shared" si="14"/>
        <v>1499.95</v>
      </c>
      <c r="O208" s="3" t="str">
        <f>TEXT(Data!$B208,"mmm")</f>
        <v>Feb</v>
      </c>
      <c r="P208" s="11">
        <f>YEAR(Data!$B208)</f>
        <v>2025</v>
      </c>
      <c r="Q208" s="12">
        <f t="shared" ca="1" si="12"/>
        <v>46122.659248495373</v>
      </c>
      <c r="R208" s="21"/>
      <c r="S208" s="19" t="str">
        <f t="shared" si="15"/>
        <v>Normal</v>
      </c>
      <c r="T208" s="26"/>
      <c r="AH208" t="str">
        <f t="shared" si="13"/>
        <v>Vir</v>
      </c>
    </row>
    <row r="209" spans="1:34" ht="15" thickBot="1">
      <c r="A209" s="22" t="s">
        <v>354</v>
      </c>
      <c r="B209" s="8">
        <v>45696</v>
      </c>
      <c r="C209" s="7" t="s">
        <v>150</v>
      </c>
      <c r="D209" s="7" t="s">
        <v>151</v>
      </c>
      <c r="E209" s="7" t="s">
        <v>31</v>
      </c>
      <c r="F209" s="7" t="s">
        <v>32</v>
      </c>
      <c r="G209" s="7" t="s">
        <v>33</v>
      </c>
      <c r="H209" s="2">
        <v>5</v>
      </c>
      <c r="I209" s="2">
        <v>59.99</v>
      </c>
      <c r="J209" s="7" t="s">
        <v>57</v>
      </c>
      <c r="K209" s="7" t="s">
        <v>21</v>
      </c>
      <c r="L209" s="7" t="s">
        <v>36</v>
      </c>
      <c r="M209" s="8">
        <v>45177</v>
      </c>
      <c r="N209" s="5">
        <f t="shared" si="14"/>
        <v>299.95</v>
      </c>
      <c r="O209" s="7" t="str">
        <f>TEXT(Data!$B209,"mmm")</f>
        <v>Feb</v>
      </c>
      <c r="P209" s="9">
        <f>YEAR(Data!$B209)</f>
        <v>2025</v>
      </c>
      <c r="Q209" s="10">
        <f t="shared" ca="1" si="12"/>
        <v>46122.659248495373</v>
      </c>
      <c r="R209" s="20"/>
      <c r="S209" s="36" t="str">
        <f t="shared" si="15"/>
        <v>Normal</v>
      </c>
      <c r="T209" s="27"/>
      <c r="AH209" t="str">
        <f t="shared" si="13"/>
        <v>Sha</v>
      </c>
    </row>
    <row r="210" spans="1:34" ht="15" thickBot="1">
      <c r="A210" s="19" t="s">
        <v>355</v>
      </c>
      <c r="B210" s="4">
        <v>45701</v>
      </c>
      <c r="C210" s="3" t="s">
        <v>108</v>
      </c>
      <c r="D210" s="3" t="s">
        <v>109</v>
      </c>
      <c r="E210" s="3" t="s">
        <v>114</v>
      </c>
      <c r="F210" s="3" t="s">
        <v>115</v>
      </c>
      <c r="G210" s="3" t="s">
        <v>33</v>
      </c>
      <c r="H210" s="5">
        <v>3</v>
      </c>
      <c r="I210" s="5">
        <v>79.989999999999995</v>
      </c>
      <c r="J210" s="3" t="s">
        <v>20</v>
      </c>
      <c r="K210" s="3" t="s">
        <v>63</v>
      </c>
      <c r="L210" s="3" t="s">
        <v>27</v>
      </c>
      <c r="M210" s="4">
        <v>44436</v>
      </c>
      <c r="N210" s="5">
        <f t="shared" si="14"/>
        <v>239.96999999999997</v>
      </c>
      <c r="O210" s="3" t="str">
        <f>TEXT(Data!$B210,"mmm")</f>
        <v>Feb</v>
      </c>
      <c r="P210" s="11">
        <f>YEAR(Data!$B210)</f>
        <v>2025</v>
      </c>
      <c r="Q210" s="12">
        <f t="shared" ca="1" si="12"/>
        <v>46122.659248495373</v>
      </c>
      <c r="R210" s="21"/>
      <c r="S210" s="19" t="str">
        <f t="shared" si="15"/>
        <v>Normal</v>
      </c>
      <c r="T210" s="26"/>
      <c r="AH210" t="str">
        <f t="shared" si="13"/>
        <v>Nan</v>
      </c>
    </row>
    <row r="211" spans="1:34" ht="15" thickBot="1">
      <c r="A211" s="22" t="s">
        <v>356</v>
      </c>
      <c r="B211" s="8">
        <v>45704</v>
      </c>
      <c r="C211" s="7" t="s">
        <v>29</v>
      </c>
      <c r="D211" s="7" t="s">
        <v>30</v>
      </c>
      <c r="E211" s="7" t="s">
        <v>126</v>
      </c>
      <c r="F211" s="7" t="s">
        <v>127</v>
      </c>
      <c r="G211" s="7" t="s">
        <v>46</v>
      </c>
      <c r="H211" s="2">
        <v>3</v>
      </c>
      <c r="I211" s="2">
        <v>199.99</v>
      </c>
      <c r="J211" s="7" t="s">
        <v>20</v>
      </c>
      <c r="K211" s="7" t="s">
        <v>21</v>
      </c>
      <c r="L211" s="7" t="s">
        <v>22</v>
      </c>
      <c r="M211" s="8">
        <v>44735</v>
      </c>
      <c r="N211" s="5">
        <f t="shared" si="14"/>
        <v>599.97</v>
      </c>
      <c r="O211" s="7" t="str">
        <f>TEXT(Data!$B211,"mmm")</f>
        <v>Feb</v>
      </c>
      <c r="P211" s="9">
        <f>YEAR(Data!$B211)</f>
        <v>2025</v>
      </c>
      <c r="Q211" s="10">
        <f t="shared" ca="1" si="12"/>
        <v>46122.659248495373</v>
      </c>
      <c r="R211" s="20"/>
      <c r="S211" s="36" t="str">
        <f t="shared" si="15"/>
        <v>Normal</v>
      </c>
      <c r="T211" s="27"/>
      <c r="AH211" t="str">
        <f t="shared" si="13"/>
        <v>Kev</v>
      </c>
    </row>
    <row r="212" spans="1:34" ht="15" thickBot="1">
      <c r="A212" s="19" t="s">
        <v>357</v>
      </c>
      <c r="B212" s="4">
        <v>45704</v>
      </c>
      <c r="C212" s="3" t="s">
        <v>15</v>
      </c>
      <c r="D212" s="3" t="s">
        <v>16</v>
      </c>
      <c r="E212" s="3" t="s">
        <v>117</v>
      </c>
      <c r="F212" s="3" t="s">
        <v>118</v>
      </c>
      <c r="G212" s="3" t="s">
        <v>19</v>
      </c>
      <c r="H212" s="5">
        <v>2</v>
      </c>
      <c r="I212" s="5">
        <v>89.99</v>
      </c>
      <c r="J212" s="3" t="s">
        <v>34</v>
      </c>
      <c r="K212" s="3" t="s">
        <v>21</v>
      </c>
      <c r="L212" s="3" t="s">
        <v>22</v>
      </c>
      <c r="M212" s="4">
        <v>45257</v>
      </c>
      <c r="N212" s="5">
        <f t="shared" si="14"/>
        <v>179.98</v>
      </c>
      <c r="O212" s="3" t="str">
        <f>TEXT(Data!$B212,"mmm")</f>
        <v>Feb</v>
      </c>
      <c r="P212" s="11">
        <f>YEAR(Data!$B212)</f>
        <v>2025</v>
      </c>
      <c r="Q212" s="12">
        <f t="shared" ca="1" si="12"/>
        <v>46122.659248495373</v>
      </c>
      <c r="R212" s="21"/>
      <c r="S212" s="19" t="str">
        <f t="shared" si="15"/>
        <v>Normal</v>
      </c>
      <c r="T212" s="26"/>
      <c r="AH212" t="str">
        <f t="shared" si="13"/>
        <v>Pau</v>
      </c>
    </row>
    <row r="213" spans="1:34" ht="15" thickBot="1">
      <c r="A213" s="22" t="s">
        <v>358</v>
      </c>
      <c r="B213" s="8">
        <v>45705</v>
      </c>
      <c r="C213" s="7" t="s">
        <v>259</v>
      </c>
      <c r="D213" s="7" t="s">
        <v>260</v>
      </c>
      <c r="E213" s="7" t="s">
        <v>44</v>
      </c>
      <c r="F213" s="7" t="s">
        <v>45</v>
      </c>
      <c r="G213" s="7" t="s">
        <v>46</v>
      </c>
      <c r="H213" s="2">
        <v>2</v>
      </c>
      <c r="I213" s="2">
        <v>149.99</v>
      </c>
      <c r="J213" s="7" t="s">
        <v>20</v>
      </c>
      <c r="K213" s="7" t="s">
        <v>35</v>
      </c>
      <c r="L213" s="7" t="s">
        <v>27</v>
      </c>
      <c r="M213" s="8">
        <v>44728</v>
      </c>
      <c r="N213" s="5">
        <f t="shared" si="14"/>
        <v>299.98</v>
      </c>
      <c r="O213" s="7" t="str">
        <f>TEXT(Data!$B213,"mmm")</f>
        <v>Feb</v>
      </c>
      <c r="P213" s="9">
        <f>YEAR(Data!$B213)</f>
        <v>2025</v>
      </c>
      <c r="Q213" s="10">
        <f t="shared" ca="1" si="12"/>
        <v>46122.659248495373</v>
      </c>
      <c r="R213" s="20"/>
      <c r="S213" s="36" t="str">
        <f t="shared" si="15"/>
        <v>Normal</v>
      </c>
      <c r="T213" s="27"/>
      <c r="AH213" t="str">
        <f t="shared" si="13"/>
        <v>Ric</v>
      </c>
    </row>
    <row r="214" spans="1:34" ht="15" thickBot="1">
      <c r="A214" s="19" t="s">
        <v>359</v>
      </c>
      <c r="B214" s="4">
        <v>45707</v>
      </c>
      <c r="C214" s="3" t="s">
        <v>123</v>
      </c>
      <c r="D214" s="3" t="s">
        <v>124</v>
      </c>
      <c r="E214" s="3" t="s">
        <v>80</v>
      </c>
      <c r="F214" s="3" t="s">
        <v>81</v>
      </c>
      <c r="G214" s="3" t="s">
        <v>19</v>
      </c>
      <c r="H214" s="5">
        <v>5</v>
      </c>
      <c r="I214" s="5">
        <v>699.99</v>
      </c>
      <c r="J214" s="3" t="s">
        <v>34</v>
      </c>
      <c r="K214" s="3" t="s">
        <v>35</v>
      </c>
      <c r="L214" s="3" t="s">
        <v>27</v>
      </c>
      <c r="M214" s="4">
        <v>45352</v>
      </c>
      <c r="N214" s="5">
        <f t="shared" si="14"/>
        <v>3499.95</v>
      </c>
      <c r="O214" s="3" t="str">
        <f>TEXT(Data!$B214,"mmm")</f>
        <v>Feb</v>
      </c>
      <c r="P214" s="11">
        <f>YEAR(Data!$B214)</f>
        <v>2025</v>
      </c>
      <c r="Q214" s="12">
        <f t="shared" ca="1" si="12"/>
        <v>46122.659248495373</v>
      </c>
      <c r="R214" s="21"/>
      <c r="S214" s="19" t="str">
        <f t="shared" si="15"/>
        <v>High Value</v>
      </c>
      <c r="T214" s="26"/>
      <c r="AH214" t="str">
        <f t="shared" si="13"/>
        <v>Edw</v>
      </c>
    </row>
    <row r="215" spans="1:34" ht="15" thickBot="1">
      <c r="A215" s="22" t="s">
        <v>360</v>
      </c>
      <c r="B215" s="8">
        <v>45707</v>
      </c>
      <c r="C215" s="7" t="s">
        <v>42</v>
      </c>
      <c r="D215" s="7" t="s">
        <v>43</v>
      </c>
      <c r="E215" s="7" t="s">
        <v>44</v>
      </c>
      <c r="F215" s="7" t="s">
        <v>45</v>
      </c>
      <c r="G215" s="7" t="s">
        <v>46</v>
      </c>
      <c r="H215" s="2">
        <v>3</v>
      </c>
      <c r="I215" s="2">
        <v>149.99</v>
      </c>
      <c r="J215" s="7" t="s">
        <v>34</v>
      </c>
      <c r="K215" s="7" t="s">
        <v>21</v>
      </c>
      <c r="L215" s="7" t="s">
        <v>36</v>
      </c>
      <c r="M215" s="8">
        <v>44633</v>
      </c>
      <c r="N215" s="5">
        <f t="shared" si="14"/>
        <v>449.97</v>
      </c>
      <c r="O215" s="7" t="str">
        <f>TEXT(Data!$B215,"mmm")</f>
        <v>Feb</v>
      </c>
      <c r="P215" s="9">
        <f>YEAR(Data!$B215)</f>
        <v>2025</v>
      </c>
      <c r="Q215" s="10">
        <f t="shared" ca="1" si="12"/>
        <v>46122.659248495373</v>
      </c>
      <c r="R215" s="20"/>
      <c r="S215" s="36" t="str">
        <f t="shared" si="15"/>
        <v>Normal</v>
      </c>
      <c r="T215" s="27"/>
      <c r="AH215" t="str">
        <f t="shared" si="13"/>
        <v>Mic</v>
      </c>
    </row>
    <row r="216" spans="1:34" ht="15" thickBot="1">
      <c r="A216" s="19" t="s">
        <v>361</v>
      </c>
      <c r="B216" s="4">
        <v>45708</v>
      </c>
      <c r="C216" s="3" t="s">
        <v>96</v>
      </c>
      <c r="D216" s="3" t="s">
        <v>97</v>
      </c>
      <c r="E216" s="3" t="s">
        <v>61</v>
      </c>
      <c r="F216" s="3" t="s">
        <v>62</v>
      </c>
      <c r="G216" s="3" t="s">
        <v>19</v>
      </c>
      <c r="H216" s="5">
        <v>3</v>
      </c>
      <c r="I216" s="5">
        <v>899.99</v>
      </c>
      <c r="J216" s="3" t="s">
        <v>20</v>
      </c>
      <c r="K216" s="3" t="s">
        <v>63</v>
      </c>
      <c r="L216" s="3" t="s">
        <v>36</v>
      </c>
      <c r="M216" s="4">
        <v>44613</v>
      </c>
      <c r="N216" s="5">
        <f t="shared" si="14"/>
        <v>2699.9700000000003</v>
      </c>
      <c r="O216" s="3" t="str">
        <f>TEXT(Data!$B216,"mmm")</f>
        <v>Feb</v>
      </c>
      <c r="P216" s="11">
        <f>YEAR(Data!$B216)</f>
        <v>2025</v>
      </c>
      <c r="Q216" s="12">
        <f t="shared" ca="1" si="12"/>
        <v>46122.659248495373</v>
      </c>
      <c r="R216" s="21"/>
      <c r="S216" s="19" t="str">
        <f t="shared" si="15"/>
        <v>High Value</v>
      </c>
      <c r="T216" s="26"/>
      <c r="AH216" t="str">
        <f t="shared" si="13"/>
        <v>Bar</v>
      </c>
    </row>
    <row r="217" spans="1:34" ht="15" thickBot="1">
      <c r="A217" s="22" t="s">
        <v>362</v>
      </c>
      <c r="B217" s="8">
        <v>45708</v>
      </c>
      <c r="C217" s="7" t="s">
        <v>192</v>
      </c>
      <c r="D217" s="7" t="s">
        <v>193</v>
      </c>
      <c r="E217" s="7" t="s">
        <v>126</v>
      </c>
      <c r="F217" s="7" t="s">
        <v>127</v>
      </c>
      <c r="G217" s="7" t="s">
        <v>46</v>
      </c>
      <c r="H217" s="2">
        <v>3</v>
      </c>
      <c r="I217" s="2">
        <v>199.99</v>
      </c>
      <c r="J217" s="7" t="s">
        <v>20</v>
      </c>
      <c r="K217" s="7" t="s">
        <v>50</v>
      </c>
      <c r="L217" s="7" t="s">
        <v>27</v>
      </c>
      <c r="M217" s="8">
        <v>44823</v>
      </c>
      <c r="N217" s="5">
        <f t="shared" si="14"/>
        <v>599.97</v>
      </c>
      <c r="O217" s="7" t="str">
        <f>TEXT(Data!$B217,"mmm")</f>
        <v>Feb</v>
      </c>
      <c r="P217" s="9">
        <f>YEAR(Data!$B217)</f>
        <v>2025</v>
      </c>
      <c r="Q217" s="10">
        <f t="shared" ca="1" si="12"/>
        <v>46122.659248495373</v>
      </c>
      <c r="R217" s="20"/>
      <c r="S217" s="36" t="str">
        <f t="shared" si="15"/>
        <v>Normal</v>
      </c>
      <c r="T217" s="27"/>
      <c r="AH217" t="str">
        <f t="shared" si="13"/>
        <v>Fra</v>
      </c>
    </row>
    <row r="218" spans="1:34" ht="15" thickBot="1">
      <c r="A218" s="19" t="s">
        <v>363</v>
      </c>
      <c r="B218" s="4">
        <v>45710</v>
      </c>
      <c r="C218" s="3" t="s">
        <v>55</v>
      </c>
      <c r="D218" s="3" t="s">
        <v>56</v>
      </c>
      <c r="E218" s="3" t="s">
        <v>105</v>
      </c>
      <c r="F218" s="3" t="s">
        <v>106</v>
      </c>
      <c r="G218" s="3" t="s">
        <v>46</v>
      </c>
      <c r="H218" s="5">
        <v>5</v>
      </c>
      <c r="I218" s="5">
        <v>299.99</v>
      </c>
      <c r="J218" s="3" t="s">
        <v>20</v>
      </c>
      <c r="K218" s="3" t="s">
        <v>50</v>
      </c>
      <c r="L218" s="3" t="s">
        <v>36</v>
      </c>
      <c r="M218" s="4">
        <v>45142</v>
      </c>
      <c r="N218" s="5">
        <f t="shared" si="14"/>
        <v>1499.95</v>
      </c>
      <c r="O218" s="3" t="str">
        <f>TEXT(Data!$B218,"mmm")</f>
        <v>Feb</v>
      </c>
      <c r="P218" s="11">
        <f>YEAR(Data!$B218)</f>
        <v>2025</v>
      </c>
      <c r="Q218" s="12">
        <f t="shared" ca="1" si="12"/>
        <v>46122.659248495373</v>
      </c>
      <c r="R218" s="21"/>
      <c r="S218" s="19" t="str">
        <f t="shared" si="15"/>
        <v>Normal</v>
      </c>
      <c r="T218" s="26"/>
      <c r="AH218" t="str">
        <f t="shared" si="13"/>
        <v>Cha</v>
      </c>
    </row>
    <row r="219" spans="1:34" ht="15" thickBot="1">
      <c r="A219" s="22" t="s">
        <v>364</v>
      </c>
      <c r="B219" s="8">
        <v>45710</v>
      </c>
      <c r="C219" s="7" t="s">
        <v>150</v>
      </c>
      <c r="D219" s="7" t="s">
        <v>151</v>
      </c>
      <c r="E219" s="7" t="s">
        <v>80</v>
      </c>
      <c r="F219" s="7" t="s">
        <v>81</v>
      </c>
      <c r="G219" s="7" t="s">
        <v>19</v>
      </c>
      <c r="H219" s="2">
        <v>1</v>
      </c>
      <c r="I219" s="2">
        <v>699.99</v>
      </c>
      <c r="J219" s="7" t="s">
        <v>34</v>
      </c>
      <c r="K219" s="7" t="s">
        <v>50</v>
      </c>
      <c r="L219" s="7" t="s">
        <v>22</v>
      </c>
      <c r="M219" s="8">
        <v>44934</v>
      </c>
      <c r="N219" s="5">
        <f t="shared" si="14"/>
        <v>699.99</v>
      </c>
      <c r="O219" s="7" t="str">
        <f>TEXT(Data!$B219,"mmm")</f>
        <v>Feb</v>
      </c>
      <c r="P219" s="9">
        <f>YEAR(Data!$B219)</f>
        <v>2025</v>
      </c>
      <c r="Q219" s="10">
        <f t="shared" ca="1" si="12"/>
        <v>46122.659248495373</v>
      </c>
      <c r="R219" s="20"/>
      <c r="S219" s="36" t="str">
        <f t="shared" si="15"/>
        <v>Normal</v>
      </c>
      <c r="T219" s="27"/>
      <c r="AH219" t="str">
        <f t="shared" si="13"/>
        <v>Sha</v>
      </c>
    </row>
    <row r="220" spans="1:34" ht="15" thickBot="1">
      <c r="A220" s="19" t="s">
        <v>365</v>
      </c>
      <c r="B220" s="4">
        <v>45711</v>
      </c>
      <c r="C220" s="3" t="s">
        <v>246</v>
      </c>
      <c r="D220" s="3" t="s">
        <v>247</v>
      </c>
      <c r="E220" s="3" t="s">
        <v>80</v>
      </c>
      <c r="F220" s="3" t="s">
        <v>81</v>
      </c>
      <c r="G220" s="3" t="s">
        <v>19</v>
      </c>
      <c r="H220" s="5">
        <v>1</v>
      </c>
      <c r="I220" s="5">
        <v>699.99</v>
      </c>
      <c r="J220" s="3" t="s">
        <v>20</v>
      </c>
      <c r="K220" s="3" t="s">
        <v>40</v>
      </c>
      <c r="L220" s="3" t="s">
        <v>27</v>
      </c>
      <c r="M220" s="4">
        <v>44583</v>
      </c>
      <c r="N220" s="5">
        <f t="shared" si="14"/>
        <v>699.99</v>
      </c>
      <c r="O220" s="3" t="str">
        <f>TEXT(Data!$B220,"mmm")</f>
        <v>Feb</v>
      </c>
      <c r="P220" s="11">
        <f>YEAR(Data!$B220)</f>
        <v>2025</v>
      </c>
      <c r="Q220" s="12">
        <f t="shared" ca="1" si="12"/>
        <v>46122.659248495373</v>
      </c>
      <c r="R220" s="21"/>
      <c r="S220" s="19" t="str">
        <f t="shared" si="15"/>
        <v>Normal</v>
      </c>
      <c r="T220" s="26"/>
      <c r="AH220" t="str">
        <f t="shared" si="13"/>
        <v>Rut</v>
      </c>
    </row>
    <row r="221" spans="1:34" ht="15" thickBot="1">
      <c r="A221" s="22" t="s">
        <v>366</v>
      </c>
      <c r="B221" s="8">
        <v>45711</v>
      </c>
      <c r="C221" s="7" t="s">
        <v>325</v>
      </c>
      <c r="D221" s="7" t="s">
        <v>326</v>
      </c>
      <c r="E221" s="7" t="s">
        <v>44</v>
      </c>
      <c r="F221" s="7" t="s">
        <v>45</v>
      </c>
      <c r="G221" s="7" t="s">
        <v>46</v>
      </c>
      <c r="H221" s="2">
        <v>4</v>
      </c>
      <c r="I221" s="2">
        <v>149.99</v>
      </c>
      <c r="J221" s="7" t="s">
        <v>34</v>
      </c>
      <c r="K221" s="7" t="s">
        <v>40</v>
      </c>
      <c r="L221" s="7" t="s">
        <v>27</v>
      </c>
      <c r="M221" s="8">
        <v>44412</v>
      </c>
      <c r="N221" s="5">
        <f t="shared" si="14"/>
        <v>599.96</v>
      </c>
      <c r="O221" s="7" t="str">
        <f>TEXT(Data!$B221,"mmm")</f>
        <v>Feb</v>
      </c>
      <c r="P221" s="9">
        <f>YEAR(Data!$B221)</f>
        <v>2025</v>
      </c>
      <c r="Q221" s="10">
        <f t="shared" ca="1" si="12"/>
        <v>46122.659248495373</v>
      </c>
      <c r="R221" s="20"/>
      <c r="S221" s="36" t="str">
        <f t="shared" si="15"/>
        <v>Normal</v>
      </c>
      <c r="T221" s="27"/>
      <c r="AH221" t="str">
        <f t="shared" si="13"/>
        <v>Art</v>
      </c>
    </row>
    <row r="222" spans="1:34" ht="15" thickBot="1">
      <c r="A222" s="19" t="s">
        <v>367</v>
      </c>
      <c r="B222" s="4">
        <v>45711</v>
      </c>
      <c r="C222" s="3" t="s">
        <v>211</v>
      </c>
      <c r="D222" s="3" t="s">
        <v>212</v>
      </c>
      <c r="E222" s="3" t="s">
        <v>117</v>
      </c>
      <c r="F222" s="3" t="s">
        <v>118</v>
      </c>
      <c r="G222" s="3" t="s">
        <v>19</v>
      </c>
      <c r="H222" s="5">
        <v>5</v>
      </c>
      <c r="I222" s="5">
        <v>89.99</v>
      </c>
      <c r="J222" s="3" t="s">
        <v>34</v>
      </c>
      <c r="K222" s="3" t="s">
        <v>50</v>
      </c>
      <c r="L222" s="3" t="s">
        <v>27</v>
      </c>
      <c r="M222" s="4">
        <v>45140</v>
      </c>
      <c r="N222" s="5">
        <f t="shared" si="14"/>
        <v>449.95</v>
      </c>
      <c r="O222" s="3" t="str">
        <f>TEXT(Data!$B222,"mmm")</f>
        <v>Feb</v>
      </c>
      <c r="P222" s="11">
        <f>YEAR(Data!$B222)</f>
        <v>2025</v>
      </c>
      <c r="Q222" s="12">
        <f t="shared" ca="1" si="12"/>
        <v>46122.659248495373</v>
      </c>
      <c r="R222" s="21"/>
      <c r="S222" s="19" t="str">
        <f t="shared" si="15"/>
        <v>Normal</v>
      </c>
      <c r="T222" s="26"/>
      <c r="AH222" t="str">
        <f t="shared" si="13"/>
        <v>Eli</v>
      </c>
    </row>
    <row r="223" spans="1:34" ht="15" thickBot="1">
      <c r="A223" s="22" t="s">
        <v>368</v>
      </c>
      <c r="B223" s="8">
        <v>45712</v>
      </c>
      <c r="C223" s="7" t="s">
        <v>138</v>
      </c>
      <c r="D223" s="7" t="s">
        <v>139</v>
      </c>
      <c r="E223" s="7" t="s">
        <v>126</v>
      </c>
      <c r="F223" s="7" t="s">
        <v>127</v>
      </c>
      <c r="G223" s="7" t="s">
        <v>46</v>
      </c>
      <c r="H223" s="2">
        <v>2</v>
      </c>
      <c r="I223" s="2">
        <v>199.99</v>
      </c>
      <c r="J223" s="7" t="s">
        <v>20</v>
      </c>
      <c r="K223" s="7" t="s">
        <v>21</v>
      </c>
      <c r="L223" s="7" t="s">
        <v>27</v>
      </c>
      <c r="M223" s="8">
        <v>44573</v>
      </c>
      <c r="N223" s="5">
        <f t="shared" si="14"/>
        <v>399.98</v>
      </c>
      <c r="O223" s="7" t="str">
        <f>TEXT(Data!$B223,"mmm")</f>
        <v>Feb</v>
      </c>
      <c r="P223" s="9">
        <f>YEAR(Data!$B223)</f>
        <v>2025</v>
      </c>
      <c r="Q223" s="10">
        <f t="shared" ca="1" si="12"/>
        <v>46122.659248495373</v>
      </c>
      <c r="R223" s="20"/>
      <c r="S223" s="36" t="str">
        <f t="shared" si="15"/>
        <v>Normal</v>
      </c>
      <c r="T223" s="27"/>
      <c r="AH223" t="str">
        <f t="shared" si="13"/>
        <v>Ste</v>
      </c>
    </row>
    <row r="224" spans="1:34" ht="15" thickBot="1">
      <c r="A224" s="19" t="s">
        <v>369</v>
      </c>
      <c r="B224" s="4">
        <v>45715</v>
      </c>
      <c r="C224" s="3" t="s">
        <v>259</v>
      </c>
      <c r="D224" s="3" t="s">
        <v>260</v>
      </c>
      <c r="E224" s="3" t="s">
        <v>31</v>
      </c>
      <c r="F224" s="3" t="s">
        <v>32</v>
      </c>
      <c r="G224" s="3" t="s">
        <v>33</v>
      </c>
      <c r="H224" s="5">
        <v>4</v>
      </c>
      <c r="I224" s="5">
        <v>59.99</v>
      </c>
      <c r="J224" s="3" t="s">
        <v>20</v>
      </c>
      <c r="K224" s="3" t="s">
        <v>50</v>
      </c>
      <c r="L224" s="3" t="s">
        <v>36</v>
      </c>
      <c r="M224" s="4">
        <v>45070</v>
      </c>
      <c r="N224" s="5">
        <f t="shared" si="14"/>
        <v>239.96</v>
      </c>
      <c r="O224" s="3" t="str">
        <f>TEXT(Data!$B224,"mmm")</f>
        <v>Feb</v>
      </c>
      <c r="P224" s="11">
        <f>YEAR(Data!$B224)</f>
        <v>2025</v>
      </c>
      <c r="Q224" s="12">
        <f t="shared" ca="1" si="12"/>
        <v>46122.659248495373</v>
      </c>
      <c r="R224" s="21"/>
      <c r="S224" s="19" t="str">
        <f t="shared" si="15"/>
        <v>Normal</v>
      </c>
      <c r="T224" s="26"/>
      <c r="AH224" t="str">
        <f t="shared" si="13"/>
        <v>Ric</v>
      </c>
    </row>
    <row r="225" spans="1:34" ht="15" thickBot="1">
      <c r="A225" s="22" t="s">
        <v>370</v>
      </c>
      <c r="B225" s="8">
        <v>45715</v>
      </c>
      <c r="C225" s="7" t="s">
        <v>93</v>
      </c>
      <c r="D225" s="7" t="s">
        <v>94</v>
      </c>
      <c r="E225" s="7" t="s">
        <v>105</v>
      </c>
      <c r="F225" s="7" t="s">
        <v>106</v>
      </c>
      <c r="G225" s="7" t="s">
        <v>46</v>
      </c>
      <c r="H225" s="2">
        <v>2</v>
      </c>
      <c r="I225" s="2">
        <v>299.99</v>
      </c>
      <c r="J225" s="7" t="s">
        <v>34</v>
      </c>
      <c r="K225" s="7" t="s">
        <v>35</v>
      </c>
      <c r="L225" s="7" t="s">
        <v>22</v>
      </c>
      <c r="M225" s="8">
        <v>44576</v>
      </c>
      <c r="N225" s="5">
        <f t="shared" si="14"/>
        <v>599.98</v>
      </c>
      <c r="O225" s="7" t="str">
        <f>TEXT(Data!$B225,"mmm")</f>
        <v>Feb</v>
      </c>
      <c r="P225" s="9">
        <f>YEAR(Data!$B225)</f>
        <v>2025</v>
      </c>
      <c r="Q225" s="10">
        <f t="shared" ca="1" si="12"/>
        <v>46122.659248495373</v>
      </c>
      <c r="R225" s="20"/>
      <c r="S225" s="36" t="str">
        <f t="shared" si="15"/>
        <v>Normal</v>
      </c>
      <c r="T225" s="27"/>
      <c r="AH225" t="str">
        <f t="shared" si="13"/>
        <v>Vir</v>
      </c>
    </row>
    <row r="226" spans="1:34" ht="15" thickBot="1">
      <c r="A226" s="19" t="s">
        <v>371</v>
      </c>
      <c r="B226" s="4">
        <v>45718</v>
      </c>
      <c r="C226" s="3" t="s">
        <v>55</v>
      </c>
      <c r="D226" s="3" t="s">
        <v>56</v>
      </c>
      <c r="E226" s="3" t="s">
        <v>44</v>
      </c>
      <c r="F226" s="3" t="s">
        <v>45</v>
      </c>
      <c r="G226" s="3" t="s">
        <v>46</v>
      </c>
      <c r="H226" s="5">
        <v>2</v>
      </c>
      <c r="I226" s="5">
        <v>149.99</v>
      </c>
      <c r="J226" s="3" t="s">
        <v>20</v>
      </c>
      <c r="K226" s="3" t="s">
        <v>21</v>
      </c>
      <c r="L226" s="3" t="s">
        <v>22</v>
      </c>
      <c r="M226" s="4">
        <v>45068</v>
      </c>
      <c r="N226" s="5">
        <f t="shared" si="14"/>
        <v>299.98</v>
      </c>
      <c r="O226" s="3" t="str">
        <f>TEXT(Data!$B226,"mmm")</f>
        <v>Mar</v>
      </c>
      <c r="P226" s="11">
        <f>YEAR(Data!$B226)</f>
        <v>2025</v>
      </c>
      <c r="Q226" s="12">
        <f t="shared" ca="1" si="12"/>
        <v>46122.659248495373</v>
      </c>
      <c r="R226" s="21"/>
      <c r="S226" s="19" t="str">
        <f t="shared" si="15"/>
        <v>Normal</v>
      </c>
      <c r="T226" s="26"/>
      <c r="AH226" t="str">
        <f t="shared" si="13"/>
        <v>Cha</v>
      </c>
    </row>
    <row r="227" spans="1:34" ht="15" thickBot="1">
      <c r="A227" s="22" t="s">
        <v>372</v>
      </c>
      <c r="B227" s="8">
        <v>45720</v>
      </c>
      <c r="C227" s="7" t="s">
        <v>226</v>
      </c>
      <c r="D227" s="7" t="s">
        <v>227</v>
      </c>
      <c r="E227" s="7" t="s">
        <v>80</v>
      </c>
      <c r="F227" s="7" t="s">
        <v>81</v>
      </c>
      <c r="G227" s="7" t="s">
        <v>19</v>
      </c>
      <c r="H227" s="2">
        <v>5</v>
      </c>
      <c r="I227" s="2">
        <v>699.99</v>
      </c>
      <c r="J227" s="7" t="s">
        <v>57</v>
      </c>
      <c r="K227" s="7" t="s">
        <v>63</v>
      </c>
      <c r="L227" s="7" t="s">
        <v>27</v>
      </c>
      <c r="M227" s="8">
        <v>45161</v>
      </c>
      <c r="N227" s="5">
        <f t="shared" si="14"/>
        <v>3499.95</v>
      </c>
      <c r="O227" s="7" t="str">
        <f>TEXT(Data!$B227,"mmm")</f>
        <v>Mar</v>
      </c>
      <c r="P227" s="9">
        <f>YEAR(Data!$B227)</f>
        <v>2025</v>
      </c>
      <c r="Q227" s="10">
        <f t="shared" ca="1" si="12"/>
        <v>46122.659248495373</v>
      </c>
      <c r="R227" s="20"/>
      <c r="S227" s="36" t="str">
        <f t="shared" si="15"/>
        <v>High Value</v>
      </c>
      <c r="T227" s="27"/>
      <c r="AH227" t="str">
        <f t="shared" si="13"/>
        <v>Law</v>
      </c>
    </row>
    <row r="228" spans="1:34" ht="15" thickBot="1">
      <c r="A228" s="19" t="s">
        <v>373</v>
      </c>
      <c r="B228" s="4">
        <v>45721</v>
      </c>
      <c r="C228" s="3" t="s">
        <v>75</v>
      </c>
      <c r="D228" s="3" t="s">
        <v>76</v>
      </c>
      <c r="E228" s="3" t="s">
        <v>31</v>
      </c>
      <c r="F228" s="3" t="s">
        <v>32</v>
      </c>
      <c r="G228" s="3" t="s">
        <v>33</v>
      </c>
      <c r="H228" s="5">
        <v>5</v>
      </c>
      <c r="I228" s="5">
        <v>59.99</v>
      </c>
      <c r="J228" s="3" t="s">
        <v>20</v>
      </c>
      <c r="K228" s="3" t="s">
        <v>50</v>
      </c>
      <c r="L228" s="3" t="s">
        <v>27</v>
      </c>
      <c r="M228" s="4">
        <v>45291</v>
      </c>
      <c r="N228" s="5">
        <f t="shared" si="14"/>
        <v>299.95</v>
      </c>
      <c r="O228" s="3" t="str">
        <f>TEXT(Data!$B228,"mmm")</f>
        <v>Mar</v>
      </c>
      <c r="P228" s="11">
        <f>YEAR(Data!$B228)</f>
        <v>2025</v>
      </c>
      <c r="Q228" s="12">
        <f t="shared" ca="1" si="12"/>
        <v>46122.659248495373</v>
      </c>
      <c r="R228" s="21"/>
      <c r="S228" s="19" t="str">
        <f t="shared" si="15"/>
        <v>Normal</v>
      </c>
      <c r="T228" s="26"/>
      <c r="AH228" t="str">
        <f t="shared" si="13"/>
        <v>Den</v>
      </c>
    </row>
    <row r="229" spans="1:34" ht="15" thickBot="1">
      <c r="A229" s="22" t="s">
        <v>374</v>
      </c>
      <c r="B229" s="8">
        <v>45723</v>
      </c>
      <c r="C229" s="7" t="s">
        <v>15</v>
      </c>
      <c r="D229" s="7" t="s">
        <v>16</v>
      </c>
      <c r="E229" s="7" t="s">
        <v>117</v>
      </c>
      <c r="F229" s="7" t="s">
        <v>118</v>
      </c>
      <c r="G229" s="7" t="s">
        <v>19</v>
      </c>
      <c r="H229" s="2">
        <v>2</v>
      </c>
      <c r="I229" s="2">
        <v>89.99</v>
      </c>
      <c r="J229" s="7" t="s">
        <v>26</v>
      </c>
      <c r="K229" s="7" t="s">
        <v>50</v>
      </c>
      <c r="L229" s="7" t="s">
        <v>27</v>
      </c>
      <c r="M229" s="8">
        <v>45295</v>
      </c>
      <c r="N229" s="5">
        <f t="shared" si="14"/>
        <v>179.98</v>
      </c>
      <c r="O229" s="7" t="str">
        <f>TEXT(Data!$B229,"mmm")</f>
        <v>Mar</v>
      </c>
      <c r="P229" s="9">
        <f>YEAR(Data!$B229)</f>
        <v>2025</v>
      </c>
      <c r="Q229" s="10">
        <f t="shared" ca="1" si="12"/>
        <v>46122.659248495373</v>
      </c>
      <c r="R229" s="20"/>
      <c r="S229" s="36" t="str">
        <f t="shared" si="15"/>
        <v>Normal</v>
      </c>
      <c r="T229" s="27"/>
      <c r="AH229" t="str">
        <f t="shared" si="13"/>
        <v>Pau</v>
      </c>
    </row>
    <row r="230" spans="1:34" ht="15" thickBot="1">
      <c r="A230" s="19" t="s">
        <v>375</v>
      </c>
      <c r="B230" s="4">
        <v>45723</v>
      </c>
      <c r="C230" s="3" t="s">
        <v>120</v>
      </c>
      <c r="D230" s="3" t="s">
        <v>121</v>
      </c>
      <c r="E230" s="3" t="s">
        <v>17</v>
      </c>
      <c r="F230" s="3" t="s">
        <v>18</v>
      </c>
      <c r="G230" s="3" t="s">
        <v>19</v>
      </c>
      <c r="H230" s="5">
        <v>5</v>
      </c>
      <c r="I230" s="5">
        <v>249.99</v>
      </c>
      <c r="J230" s="3" t="s">
        <v>20</v>
      </c>
      <c r="K230" s="3" t="s">
        <v>63</v>
      </c>
      <c r="L230" s="3" t="s">
        <v>36</v>
      </c>
      <c r="M230" s="4">
        <v>44540</v>
      </c>
      <c r="N230" s="5">
        <f t="shared" si="14"/>
        <v>1249.95</v>
      </c>
      <c r="O230" s="3" t="str">
        <f>TEXT(Data!$B230,"mmm")</f>
        <v>Mar</v>
      </c>
      <c r="P230" s="11">
        <f>YEAR(Data!$B230)</f>
        <v>2025</v>
      </c>
      <c r="Q230" s="12">
        <f t="shared" ca="1" si="12"/>
        <v>46122.659248495373</v>
      </c>
      <c r="R230" s="21"/>
      <c r="S230" s="19" t="str">
        <f t="shared" si="15"/>
        <v>Normal</v>
      </c>
      <c r="T230" s="26"/>
      <c r="AH230" t="str">
        <f t="shared" si="13"/>
        <v>Hel</v>
      </c>
    </row>
    <row r="231" spans="1:34" ht="15" thickBot="1">
      <c r="A231" s="22" t="s">
        <v>376</v>
      </c>
      <c r="B231" s="8">
        <v>45724</v>
      </c>
      <c r="C231" s="7" t="s">
        <v>226</v>
      </c>
      <c r="D231" s="7" t="s">
        <v>227</v>
      </c>
      <c r="E231" s="7" t="s">
        <v>44</v>
      </c>
      <c r="F231" s="7" t="s">
        <v>45</v>
      </c>
      <c r="G231" s="7" t="s">
        <v>46</v>
      </c>
      <c r="H231" s="2">
        <v>2</v>
      </c>
      <c r="I231" s="2">
        <v>149.99</v>
      </c>
      <c r="J231" s="7" t="s">
        <v>34</v>
      </c>
      <c r="K231" s="7" t="s">
        <v>21</v>
      </c>
      <c r="L231" s="7" t="s">
        <v>27</v>
      </c>
      <c r="M231" s="8">
        <v>44632</v>
      </c>
      <c r="N231" s="5">
        <f t="shared" si="14"/>
        <v>299.98</v>
      </c>
      <c r="O231" s="7" t="str">
        <f>TEXT(Data!$B231,"mmm")</f>
        <v>Mar</v>
      </c>
      <c r="P231" s="9">
        <f>YEAR(Data!$B231)</f>
        <v>2025</v>
      </c>
      <c r="Q231" s="10">
        <f t="shared" ca="1" si="12"/>
        <v>46122.659248495373</v>
      </c>
      <c r="R231" s="20"/>
      <c r="S231" s="36" t="str">
        <f t="shared" si="15"/>
        <v>Normal</v>
      </c>
      <c r="T231" s="27"/>
      <c r="AH231" t="str">
        <f t="shared" si="13"/>
        <v>Law</v>
      </c>
    </row>
    <row r="232" spans="1:34" ht="15" thickBot="1">
      <c r="A232" s="19" t="s">
        <v>377</v>
      </c>
      <c r="B232" s="4">
        <v>45724</v>
      </c>
      <c r="C232" s="3" t="s">
        <v>144</v>
      </c>
      <c r="D232" s="3" t="s">
        <v>145</v>
      </c>
      <c r="E232" s="3" t="s">
        <v>61</v>
      </c>
      <c r="F232" s="3" t="s">
        <v>62</v>
      </c>
      <c r="G232" s="3" t="s">
        <v>19</v>
      </c>
      <c r="H232" s="5">
        <v>5</v>
      </c>
      <c r="I232" s="5">
        <v>899.99</v>
      </c>
      <c r="J232" s="3" t="s">
        <v>34</v>
      </c>
      <c r="K232" s="3" t="s">
        <v>63</v>
      </c>
      <c r="L232" s="3" t="s">
        <v>27</v>
      </c>
      <c r="M232" s="4">
        <v>45389</v>
      </c>
      <c r="N232" s="5">
        <f t="shared" si="14"/>
        <v>4499.95</v>
      </c>
      <c r="O232" s="3" t="str">
        <f>TEXT(Data!$B232,"mmm")</f>
        <v>Mar</v>
      </c>
      <c r="P232" s="11">
        <f>YEAR(Data!$B232)</f>
        <v>2025</v>
      </c>
      <c r="Q232" s="12">
        <f t="shared" ca="1" si="12"/>
        <v>46122.659248495373</v>
      </c>
      <c r="R232" s="21"/>
      <c r="S232" s="19" t="str">
        <f t="shared" si="15"/>
        <v>High Value</v>
      </c>
      <c r="T232" s="26"/>
      <c r="AH232" t="str">
        <f t="shared" si="13"/>
        <v>Har</v>
      </c>
    </row>
    <row r="233" spans="1:34" ht="15" thickBot="1">
      <c r="A233" s="22" t="s">
        <v>378</v>
      </c>
      <c r="B233" s="8">
        <v>45724</v>
      </c>
      <c r="C233" s="7" t="s">
        <v>55</v>
      </c>
      <c r="D233" s="7" t="s">
        <v>56</v>
      </c>
      <c r="E233" s="7" t="s">
        <v>44</v>
      </c>
      <c r="F233" s="7" t="s">
        <v>45</v>
      </c>
      <c r="G233" s="7" t="s">
        <v>46</v>
      </c>
      <c r="H233" s="2">
        <v>4</v>
      </c>
      <c r="I233" s="2">
        <v>149.99</v>
      </c>
      <c r="J233" s="7" t="s">
        <v>20</v>
      </c>
      <c r="K233" s="7" t="s">
        <v>21</v>
      </c>
      <c r="L233" s="7" t="s">
        <v>36</v>
      </c>
      <c r="M233" s="8">
        <v>45263</v>
      </c>
      <c r="N233" s="5">
        <f t="shared" si="14"/>
        <v>599.96</v>
      </c>
      <c r="O233" s="7" t="str">
        <f>TEXT(Data!$B233,"mmm")</f>
        <v>Mar</v>
      </c>
      <c r="P233" s="9">
        <f>YEAR(Data!$B233)</f>
        <v>2025</v>
      </c>
      <c r="Q233" s="10">
        <f t="shared" ca="1" si="12"/>
        <v>46122.659248495373</v>
      </c>
      <c r="R233" s="20"/>
      <c r="S233" s="36" t="str">
        <f t="shared" si="15"/>
        <v>Normal</v>
      </c>
      <c r="T233" s="27"/>
      <c r="AH233" t="str">
        <f t="shared" si="13"/>
        <v>Cha</v>
      </c>
    </row>
    <row r="234" spans="1:34" ht="15" thickBot="1">
      <c r="A234" s="19" t="s">
        <v>379</v>
      </c>
      <c r="B234" s="4">
        <v>45726</v>
      </c>
      <c r="C234" s="3" t="s">
        <v>144</v>
      </c>
      <c r="D234" s="3" t="s">
        <v>145</v>
      </c>
      <c r="E234" s="3" t="s">
        <v>17</v>
      </c>
      <c r="F234" s="3" t="s">
        <v>18</v>
      </c>
      <c r="G234" s="3" t="s">
        <v>19</v>
      </c>
      <c r="H234" s="5">
        <v>1</v>
      </c>
      <c r="I234" s="5">
        <v>249.99</v>
      </c>
      <c r="J234" s="3" t="s">
        <v>20</v>
      </c>
      <c r="K234" s="3" t="s">
        <v>40</v>
      </c>
      <c r="L234" s="3" t="s">
        <v>36</v>
      </c>
      <c r="M234" s="4">
        <v>45117</v>
      </c>
      <c r="N234" s="5">
        <f t="shared" si="14"/>
        <v>249.99</v>
      </c>
      <c r="O234" s="3" t="str">
        <f>TEXT(Data!$B234,"mmm")</f>
        <v>Mar</v>
      </c>
      <c r="P234" s="11">
        <f>YEAR(Data!$B234)</f>
        <v>2025</v>
      </c>
      <c r="Q234" s="12">
        <f t="shared" ca="1" si="12"/>
        <v>46122.659248495373</v>
      </c>
      <c r="R234" s="21"/>
      <c r="S234" s="19" t="str">
        <f t="shared" si="15"/>
        <v>Normal</v>
      </c>
      <c r="T234" s="26"/>
      <c r="AH234" t="str">
        <f t="shared" si="13"/>
        <v>Har</v>
      </c>
    </row>
    <row r="235" spans="1:34" ht="15" thickBot="1">
      <c r="A235" s="22" t="s">
        <v>380</v>
      </c>
      <c r="B235" s="8">
        <v>45734</v>
      </c>
      <c r="C235" s="7" t="s">
        <v>192</v>
      </c>
      <c r="D235" s="7" t="s">
        <v>193</v>
      </c>
      <c r="E235" s="7" t="s">
        <v>31</v>
      </c>
      <c r="F235" s="7" t="s">
        <v>32</v>
      </c>
      <c r="G235" s="7" t="s">
        <v>33</v>
      </c>
      <c r="H235" s="2">
        <v>2</v>
      </c>
      <c r="I235" s="2">
        <v>59.99</v>
      </c>
      <c r="J235" s="7" t="s">
        <v>26</v>
      </c>
      <c r="K235" s="7" t="s">
        <v>50</v>
      </c>
      <c r="L235" s="7" t="s">
        <v>22</v>
      </c>
      <c r="M235" s="8">
        <v>45193</v>
      </c>
      <c r="N235" s="5">
        <f t="shared" si="14"/>
        <v>119.98</v>
      </c>
      <c r="O235" s="7" t="str">
        <f>TEXT(Data!$B235,"mmm")</f>
        <v>Mar</v>
      </c>
      <c r="P235" s="9">
        <f>YEAR(Data!$B235)</f>
        <v>2025</v>
      </c>
      <c r="Q235" s="10">
        <f t="shared" ca="1" si="12"/>
        <v>46122.659248495373</v>
      </c>
      <c r="R235" s="20"/>
      <c r="S235" s="36" t="str">
        <f t="shared" si="15"/>
        <v>Normal</v>
      </c>
      <c r="T235" s="27"/>
      <c r="AH235" t="str">
        <f t="shared" si="13"/>
        <v>Fra</v>
      </c>
    </row>
    <row r="236" spans="1:34" ht="15" thickBot="1">
      <c r="A236" s="19" t="s">
        <v>381</v>
      </c>
      <c r="B236" s="4">
        <v>45737</v>
      </c>
      <c r="C236" s="3" t="s">
        <v>132</v>
      </c>
      <c r="D236" s="3" t="s">
        <v>133</v>
      </c>
      <c r="E236" s="3" t="s">
        <v>44</v>
      </c>
      <c r="F236" s="3" t="s">
        <v>45</v>
      </c>
      <c r="G236" s="3" t="s">
        <v>46</v>
      </c>
      <c r="H236" s="5">
        <v>2</v>
      </c>
      <c r="I236" s="5">
        <v>149.99</v>
      </c>
      <c r="J236" s="3" t="s">
        <v>20</v>
      </c>
      <c r="K236" s="3" t="s">
        <v>50</v>
      </c>
      <c r="L236" s="3" t="s">
        <v>27</v>
      </c>
      <c r="M236" s="4">
        <v>45233</v>
      </c>
      <c r="N236" s="5">
        <f t="shared" si="14"/>
        <v>299.98</v>
      </c>
      <c r="O236" s="3" t="str">
        <f>TEXT(Data!$B236,"mmm")</f>
        <v>Mar</v>
      </c>
      <c r="P236" s="11">
        <f>YEAR(Data!$B236)</f>
        <v>2025</v>
      </c>
      <c r="Q236" s="12">
        <f t="shared" ca="1" si="12"/>
        <v>46122.659248495373</v>
      </c>
      <c r="R236" s="21"/>
      <c r="S236" s="19" t="str">
        <f t="shared" si="15"/>
        <v>Normal</v>
      </c>
      <c r="T236" s="26"/>
      <c r="AH236" t="str">
        <f t="shared" si="13"/>
        <v>Emm</v>
      </c>
    </row>
    <row r="237" spans="1:34" ht="15" thickBot="1">
      <c r="A237" s="22" t="s">
        <v>382</v>
      </c>
      <c r="B237" s="8">
        <v>45737</v>
      </c>
      <c r="C237" s="7" t="s">
        <v>150</v>
      </c>
      <c r="D237" s="7" t="s">
        <v>151</v>
      </c>
      <c r="E237" s="7" t="s">
        <v>61</v>
      </c>
      <c r="F237" s="7" t="s">
        <v>62</v>
      </c>
      <c r="G237" s="7" t="s">
        <v>19</v>
      </c>
      <c r="H237" s="2">
        <v>3</v>
      </c>
      <c r="I237" s="2">
        <v>899.99</v>
      </c>
      <c r="J237" s="7" t="s">
        <v>57</v>
      </c>
      <c r="K237" s="7" t="s">
        <v>40</v>
      </c>
      <c r="L237" s="7" t="s">
        <v>27</v>
      </c>
      <c r="M237" s="8">
        <v>44876</v>
      </c>
      <c r="N237" s="5">
        <f t="shared" si="14"/>
        <v>2699.9700000000003</v>
      </c>
      <c r="O237" s="7" t="str">
        <f>TEXT(Data!$B237,"mmm")</f>
        <v>Mar</v>
      </c>
      <c r="P237" s="9">
        <f>YEAR(Data!$B237)</f>
        <v>2025</v>
      </c>
      <c r="Q237" s="10">
        <f t="shared" ca="1" si="12"/>
        <v>46122.659248495373</v>
      </c>
      <c r="R237" s="20"/>
      <c r="S237" s="36" t="str">
        <f t="shared" si="15"/>
        <v>High Value</v>
      </c>
      <c r="T237" s="27"/>
      <c r="AH237" t="str">
        <f t="shared" si="13"/>
        <v>Sha</v>
      </c>
    </row>
    <row r="238" spans="1:34" ht="15" thickBot="1">
      <c r="A238" s="19" t="s">
        <v>383</v>
      </c>
      <c r="B238" s="4">
        <v>45737</v>
      </c>
      <c r="C238" s="3" t="s">
        <v>48</v>
      </c>
      <c r="D238" s="3" t="s">
        <v>49</v>
      </c>
      <c r="E238" s="3" t="s">
        <v>61</v>
      </c>
      <c r="F238" s="3" t="s">
        <v>62</v>
      </c>
      <c r="G238" s="3" t="s">
        <v>19</v>
      </c>
      <c r="H238" s="5">
        <v>3</v>
      </c>
      <c r="I238" s="5">
        <v>899.99</v>
      </c>
      <c r="J238" s="3" t="s">
        <v>34</v>
      </c>
      <c r="K238" s="3" t="s">
        <v>40</v>
      </c>
      <c r="L238" s="3" t="s">
        <v>22</v>
      </c>
      <c r="M238" s="4">
        <v>44975</v>
      </c>
      <c r="N238" s="5">
        <f t="shared" si="14"/>
        <v>2699.9700000000003</v>
      </c>
      <c r="O238" s="3" t="str">
        <f>TEXT(Data!$B238,"mmm")</f>
        <v>Mar</v>
      </c>
      <c r="P238" s="11">
        <f>YEAR(Data!$B238)</f>
        <v>2025</v>
      </c>
      <c r="Q238" s="12">
        <f t="shared" ca="1" si="12"/>
        <v>46122.659248495373</v>
      </c>
      <c r="R238" s="21"/>
      <c r="S238" s="19" t="str">
        <f t="shared" si="15"/>
        <v>High Value</v>
      </c>
      <c r="T238" s="26"/>
      <c r="AH238" t="str">
        <f t="shared" si="13"/>
        <v>Dor</v>
      </c>
    </row>
    <row r="239" spans="1:34" ht="15" thickBot="1">
      <c r="A239" s="22" t="s">
        <v>384</v>
      </c>
      <c r="B239" s="8">
        <v>45739</v>
      </c>
      <c r="C239" s="7" t="s">
        <v>15</v>
      </c>
      <c r="D239" s="7" t="s">
        <v>16</v>
      </c>
      <c r="E239" s="7" t="s">
        <v>105</v>
      </c>
      <c r="F239" s="7" t="s">
        <v>106</v>
      </c>
      <c r="G239" s="7" t="s">
        <v>46</v>
      </c>
      <c r="H239" s="2">
        <v>3</v>
      </c>
      <c r="I239" s="2">
        <v>299.99</v>
      </c>
      <c r="J239" s="7" t="s">
        <v>26</v>
      </c>
      <c r="K239" s="7" t="s">
        <v>50</v>
      </c>
      <c r="L239" s="7" t="s">
        <v>27</v>
      </c>
      <c r="M239" s="8">
        <v>45234</v>
      </c>
      <c r="N239" s="5">
        <f t="shared" si="14"/>
        <v>899.97</v>
      </c>
      <c r="O239" s="7" t="str">
        <f>TEXT(Data!$B239,"mmm")</f>
        <v>Mar</v>
      </c>
      <c r="P239" s="9">
        <f>YEAR(Data!$B239)</f>
        <v>2025</v>
      </c>
      <c r="Q239" s="10">
        <f t="shared" ca="1" si="12"/>
        <v>46122.659248495373</v>
      </c>
      <c r="R239" s="20"/>
      <c r="S239" s="36" t="str">
        <f t="shared" si="15"/>
        <v>Normal</v>
      </c>
      <c r="T239" s="27"/>
      <c r="AH239" t="str">
        <f t="shared" si="13"/>
        <v>Pau</v>
      </c>
    </row>
    <row r="240" spans="1:34" ht="15" thickBot="1">
      <c r="A240" s="19" t="s">
        <v>385</v>
      </c>
      <c r="B240" s="4">
        <v>45740</v>
      </c>
      <c r="C240" s="3" t="s">
        <v>386</v>
      </c>
      <c r="D240" s="3" t="s">
        <v>387</v>
      </c>
      <c r="E240" s="3" t="s">
        <v>44</v>
      </c>
      <c r="F240" s="3" t="s">
        <v>45</v>
      </c>
      <c r="G240" s="3" t="s">
        <v>46</v>
      </c>
      <c r="H240" s="5">
        <v>4</v>
      </c>
      <c r="I240" s="5">
        <v>149.99</v>
      </c>
      <c r="J240" s="3" t="s">
        <v>34</v>
      </c>
      <c r="K240" s="3" t="s">
        <v>50</v>
      </c>
      <c r="L240" s="3" t="s">
        <v>36</v>
      </c>
      <c r="M240" s="4">
        <v>44560</v>
      </c>
      <c r="N240" s="5">
        <f t="shared" si="14"/>
        <v>599.96</v>
      </c>
      <c r="O240" s="3" t="str">
        <f>TEXT(Data!$B240,"mmm")</f>
        <v>Mar</v>
      </c>
      <c r="P240" s="11">
        <f>YEAR(Data!$B240)</f>
        <v>2025</v>
      </c>
      <c r="Q240" s="12">
        <f t="shared" ca="1" si="12"/>
        <v>46122.659248495373</v>
      </c>
      <c r="R240" s="21"/>
      <c r="S240" s="19" t="str">
        <f t="shared" si="15"/>
        <v>Normal</v>
      </c>
      <c r="T240" s="26"/>
      <c r="AH240" t="str">
        <f t="shared" si="13"/>
        <v>Joh</v>
      </c>
    </row>
    <row r="241" spans="1:34" ht="15" thickBot="1">
      <c r="A241" s="22" t="s">
        <v>388</v>
      </c>
      <c r="B241" s="8">
        <v>45743</v>
      </c>
      <c r="C241" s="7" t="s">
        <v>102</v>
      </c>
      <c r="D241" s="7" t="s">
        <v>103</v>
      </c>
      <c r="E241" s="7" t="s">
        <v>114</v>
      </c>
      <c r="F241" s="7" t="s">
        <v>115</v>
      </c>
      <c r="G241" s="7" t="s">
        <v>33</v>
      </c>
      <c r="H241" s="2">
        <v>4</v>
      </c>
      <c r="I241" s="2">
        <v>79.989999999999995</v>
      </c>
      <c r="J241" s="7" t="s">
        <v>26</v>
      </c>
      <c r="K241" s="7" t="s">
        <v>21</v>
      </c>
      <c r="L241" s="7" t="s">
        <v>22</v>
      </c>
      <c r="M241" s="8">
        <v>45288</v>
      </c>
      <c r="N241" s="5">
        <f t="shared" si="14"/>
        <v>319.95999999999998</v>
      </c>
      <c r="O241" s="7" t="str">
        <f>TEXT(Data!$B241,"mmm")</f>
        <v>Mar</v>
      </c>
      <c r="P241" s="9">
        <f>YEAR(Data!$B241)</f>
        <v>2025</v>
      </c>
      <c r="Q241" s="10">
        <f t="shared" ca="1" si="12"/>
        <v>46122.659248495373</v>
      </c>
      <c r="R241" s="20"/>
      <c r="S241" s="36" t="str">
        <f t="shared" si="15"/>
        <v>Normal</v>
      </c>
      <c r="T241" s="27"/>
      <c r="AH241" t="str">
        <f t="shared" si="13"/>
        <v>Cyn</v>
      </c>
    </row>
    <row r="242" spans="1:34" ht="15" thickBot="1">
      <c r="A242" s="19" t="s">
        <v>389</v>
      </c>
      <c r="B242" s="4">
        <v>45745</v>
      </c>
      <c r="C242" s="3" t="s">
        <v>185</v>
      </c>
      <c r="D242" s="3" t="s">
        <v>186</v>
      </c>
      <c r="E242" s="3" t="s">
        <v>117</v>
      </c>
      <c r="F242" s="3" t="s">
        <v>118</v>
      </c>
      <c r="G242" s="3" t="s">
        <v>19</v>
      </c>
      <c r="H242" s="5">
        <v>5</v>
      </c>
      <c r="I242" s="5">
        <v>89.99</v>
      </c>
      <c r="J242" s="3" t="s">
        <v>34</v>
      </c>
      <c r="K242" s="3" t="s">
        <v>35</v>
      </c>
      <c r="L242" s="3" t="s">
        <v>22</v>
      </c>
      <c r="M242" s="4">
        <v>44704</v>
      </c>
      <c r="N242" s="5">
        <f t="shared" si="14"/>
        <v>449.95</v>
      </c>
      <c r="O242" s="3" t="str">
        <f>TEXT(Data!$B242,"mmm")</f>
        <v>Mar</v>
      </c>
      <c r="P242" s="11">
        <f>YEAR(Data!$B242)</f>
        <v>2025</v>
      </c>
      <c r="Q242" s="12">
        <f t="shared" ca="1" si="12"/>
        <v>46122.659248495373</v>
      </c>
      <c r="R242" s="21"/>
      <c r="S242" s="19" t="str">
        <f t="shared" si="15"/>
        <v>Normal</v>
      </c>
      <c r="T242" s="26"/>
      <c r="AH242" t="str">
        <f t="shared" si="13"/>
        <v>Mar</v>
      </c>
    </row>
    <row r="243" spans="1:34" ht="15" thickBot="1">
      <c r="A243" s="22" t="s">
        <v>390</v>
      </c>
      <c r="B243" s="8">
        <v>45746</v>
      </c>
      <c r="C243" s="7" t="s">
        <v>93</v>
      </c>
      <c r="D243" s="7" t="s">
        <v>94</v>
      </c>
      <c r="E243" s="7" t="s">
        <v>44</v>
      </c>
      <c r="F243" s="7" t="s">
        <v>45</v>
      </c>
      <c r="G243" s="7" t="s">
        <v>46</v>
      </c>
      <c r="H243" s="2">
        <v>3</v>
      </c>
      <c r="I243" s="2">
        <v>149.99</v>
      </c>
      <c r="J243" s="7" t="s">
        <v>34</v>
      </c>
      <c r="K243" s="7" t="s">
        <v>21</v>
      </c>
      <c r="L243" s="7" t="s">
        <v>36</v>
      </c>
      <c r="M243" s="8">
        <v>45171</v>
      </c>
      <c r="N243" s="5">
        <f t="shared" si="14"/>
        <v>449.97</v>
      </c>
      <c r="O243" s="7" t="str">
        <f>TEXT(Data!$B243,"mmm")</f>
        <v>Mar</v>
      </c>
      <c r="P243" s="9">
        <f>YEAR(Data!$B243)</f>
        <v>2025</v>
      </c>
      <c r="Q243" s="10">
        <f t="shared" ca="1" si="12"/>
        <v>46122.659248495373</v>
      </c>
      <c r="R243" s="20"/>
      <c r="S243" s="36" t="str">
        <f t="shared" si="15"/>
        <v>Normal</v>
      </c>
      <c r="T243" s="27"/>
      <c r="AH243" t="str">
        <f t="shared" si="13"/>
        <v>Vir</v>
      </c>
    </row>
    <row r="244" spans="1:34" ht="15" thickBot="1">
      <c r="A244" s="19" t="s">
        <v>391</v>
      </c>
      <c r="B244" s="4">
        <v>45746</v>
      </c>
      <c r="C244" s="3" t="s">
        <v>65</v>
      </c>
      <c r="D244" s="3" t="s">
        <v>66</v>
      </c>
      <c r="E244" s="3" t="s">
        <v>117</v>
      </c>
      <c r="F244" s="3" t="s">
        <v>118</v>
      </c>
      <c r="G244" s="3" t="s">
        <v>19</v>
      </c>
      <c r="H244" s="5">
        <v>2</v>
      </c>
      <c r="I244" s="5">
        <v>89.99</v>
      </c>
      <c r="J244" s="3" t="s">
        <v>57</v>
      </c>
      <c r="K244" s="3" t="s">
        <v>50</v>
      </c>
      <c r="L244" s="3" t="s">
        <v>27</v>
      </c>
      <c r="M244" s="4">
        <v>44522</v>
      </c>
      <c r="N244" s="5">
        <f t="shared" si="14"/>
        <v>179.98</v>
      </c>
      <c r="O244" s="3" t="str">
        <f>TEXT(Data!$B244,"mmm")</f>
        <v>Mar</v>
      </c>
      <c r="P244" s="11">
        <f>YEAR(Data!$B244)</f>
        <v>2025</v>
      </c>
      <c r="Q244" s="12">
        <f t="shared" ca="1" si="12"/>
        <v>46122.659248495373</v>
      </c>
      <c r="R244" s="21"/>
      <c r="S244" s="19" t="str">
        <f t="shared" si="15"/>
        <v>Normal</v>
      </c>
      <c r="T244" s="26"/>
      <c r="AH244" t="str">
        <f t="shared" si="13"/>
        <v>Kar</v>
      </c>
    </row>
    <row r="245" spans="1:34" ht="15" thickBot="1">
      <c r="A245" s="22" t="s">
        <v>392</v>
      </c>
      <c r="B245" s="8">
        <v>45748</v>
      </c>
      <c r="C245" s="7" t="s">
        <v>102</v>
      </c>
      <c r="D245" s="7" t="s">
        <v>103</v>
      </c>
      <c r="E245" s="7" t="s">
        <v>80</v>
      </c>
      <c r="F245" s="7" t="s">
        <v>81</v>
      </c>
      <c r="G245" s="7" t="s">
        <v>19</v>
      </c>
      <c r="H245" s="2">
        <v>2</v>
      </c>
      <c r="I245" s="2">
        <v>699.99</v>
      </c>
      <c r="J245" s="7" t="s">
        <v>34</v>
      </c>
      <c r="K245" s="7" t="s">
        <v>40</v>
      </c>
      <c r="L245" s="7" t="s">
        <v>36</v>
      </c>
      <c r="M245" s="8">
        <v>44618</v>
      </c>
      <c r="N245" s="5">
        <f t="shared" si="14"/>
        <v>1399.98</v>
      </c>
      <c r="O245" s="7" t="str">
        <f>TEXT(Data!$B245,"mmm")</f>
        <v>Apr</v>
      </c>
      <c r="P245" s="9">
        <f>YEAR(Data!$B245)</f>
        <v>2025</v>
      </c>
      <c r="Q245" s="10">
        <f t="shared" ca="1" si="12"/>
        <v>46122.659248495373</v>
      </c>
      <c r="R245" s="20"/>
      <c r="S245" s="36" t="str">
        <f t="shared" si="15"/>
        <v>Normal</v>
      </c>
      <c r="T245" s="27"/>
      <c r="AH245" t="str">
        <f t="shared" si="13"/>
        <v>Cyn</v>
      </c>
    </row>
    <row r="246" spans="1:34" ht="15" thickBot="1">
      <c r="A246" s="19" t="s">
        <v>393</v>
      </c>
      <c r="B246" s="4">
        <v>45749</v>
      </c>
      <c r="C246" s="3" t="s">
        <v>123</v>
      </c>
      <c r="D246" s="3" t="s">
        <v>124</v>
      </c>
      <c r="E246" s="3" t="s">
        <v>61</v>
      </c>
      <c r="F246" s="3" t="s">
        <v>62</v>
      </c>
      <c r="G246" s="3" t="s">
        <v>19</v>
      </c>
      <c r="H246" s="5">
        <v>3</v>
      </c>
      <c r="I246" s="5">
        <v>899.99</v>
      </c>
      <c r="J246" s="3" t="s">
        <v>20</v>
      </c>
      <c r="K246" s="3" t="s">
        <v>21</v>
      </c>
      <c r="L246" s="3" t="s">
        <v>36</v>
      </c>
      <c r="M246" s="4">
        <v>44953</v>
      </c>
      <c r="N246" s="5">
        <f t="shared" si="14"/>
        <v>2699.9700000000003</v>
      </c>
      <c r="O246" s="3" t="str">
        <f>TEXT(Data!$B246,"mmm")</f>
        <v>Apr</v>
      </c>
      <c r="P246" s="11">
        <f>YEAR(Data!$B246)</f>
        <v>2025</v>
      </c>
      <c r="Q246" s="12">
        <f t="shared" ca="1" si="12"/>
        <v>46122.659248495373</v>
      </c>
      <c r="R246" s="21"/>
      <c r="S246" s="19" t="str">
        <f t="shared" si="15"/>
        <v>High Value</v>
      </c>
      <c r="T246" s="26"/>
      <c r="AH246" t="str">
        <f t="shared" si="13"/>
        <v>Edw</v>
      </c>
    </row>
    <row r="247" spans="1:34" ht="15" thickBot="1">
      <c r="A247" s="22" t="s">
        <v>394</v>
      </c>
      <c r="B247" s="8">
        <v>45755</v>
      </c>
      <c r="C247" s="7" t="s">
        <v>93</v>
      </c>
      <c r="D247" s="7" t="s">
        <v>94</v>
      </c>
      <c r="E247" s="7" t="s">
        <v>114</v>
      </c>
      <c r="F247" s="7" t="s">
        <v>115</v>
      </c>
      <c r="G247" s="7" t="s">
        <v>33</v>
      </c>
      <c r="H247" s="2">
        <v>3</v>
      </c>
      <c r="I247" s="2">
        <v>79.989999999999995</v>
      </c>
      <c r="J247" s="7" t="s">
        <v>26</v>
      </c>
      <c r="K247" s="7" t="s">
        <v>40</v>
      </c>
      <c r="L247" s="7" t="s">
        <v>22</v>
      </c>
      <c r="M247" s="8">
        <v>44511</v>
      </c>
      <c r="N247" s="5">
        <f t="shared" si="14"/>
        <v>239.96999999999997</v>
      </c>
      <c r="O247" s="7" t="str">
        <f>TEXT(Data!$B247,"mmm")</f>
        <v>Apr</v>
      </c>
      <c r="P247" s="9">
        <f>YEAR(Data!$B247)</f>
        <v>2025</v>
      </c>
      <c r="Q247" s="10">
        <f t="shared" ca="1" si="12"/>
        <v>46122.659248495373</v>
      </c>
      <c r="R247" s="20"/>
      <c r="S247" s="36" t="str">
        <f t="shared" si="15"/>
        <v>Normal</v>
      </c>
      <c r="T247" s="27"/>
      <c r="AH247" t="str">
        <f t="shared" si="13"/>
        <v>Vir</v>
      </c>
    </row>
    <row r="248" spans="1:34" ht="15" thickBot="1">
      <c r="A248" s="19" t="s">
        <v>395</v>
      </c>
      <c r="B248" s="4">
        <v>45756</v>
      </c>
      <c r="C248" s="3" t="s">
        <v>59</v>
      </c>
      <c r="D248" s="3" t="s">
        <v>60</v>
      </c>
      <c r="E248" s="3" t="s">
        <v>117</v>
      </c>
      <c r="F248" s="3" t="s">
        <v>118</v>
      </c>
      <c r="G248" s="3" t="s">
        <v>19</v>
      </c>
      <c r="H248" s="5">
        <v>1</v>
      </c>
      <c r="I248" s="5">
        <v>89.99</v>
      </c>
      <c r="J248" s="3" t="s">
        <v>57</v>
      </c>
      <c r="K248" s="3" t="s">
        <v>63</v>
      </c>
      <c r="L248" s="3" t="s">
        <v>22</v>
      </c>
      <c r="M248" s="4">
        <v>45346</v>
      </c>
      <c r="N248" s="5">
        <f t="shared" si="14"/>
        <v>89.99</v>
      </c>
      <c r="O248" s="3" t="str">
        <f>TEXT(Data!$B248,"mmm")</f>
        <v>Apr</v>
      </c>
      <c r="P248" s="11">
        <f>YEAR(Data!$B248)</f>
        <v>2025</v>
      </c>
      <c r="Q248" s="12">
        <f t="shared" ca="1" si="12"/>
        <v>46122.659248495373</v>
      </c>
      <c r="R248" s="21"/>
      <c r="S248" s="19" t="str">
        <f t="shared" si="15"/>
        <v>Normal</v>
      </c>
      <c r="T248" s="26"/>
      <c r="AH248" t="str">
        <f t="shared" si="13"/>
        <v>Rob</v>
      </c>
    </row>
    <row r="249" spans="1:34" ht="15" thickBot="1">
      <c r="A249" s="22" t="s">
        <v>396</v>
      </c>
      <c r="B249" s="8">
        <v>45758</v>
      </c>
      <c r="C249" s="7" t="s">
        <v>293</v>
      </c>
      <c r="D249" s="7" t="s">
        <v>294</v>
      </c>
      <c r="E249" s="7" t="s">
        <v>80</v>
      </c>
      <c r="F249" s="7" t="s">
        <v>81</v>
      </c>
      <c r="G249" s="7" t="s">
        <v>19</v>
      </c>
      <c r="H249" s="2">
        <v>3</v>
      </c>
      <c r="I249" s="2">
        <v>699.99</v>
      </c>
      <c r="J249" s="7" t="s">
        <v>34</v>
      </c>
      <c r="K249" s="7" t="s">
        <v>40</v>
      </c>
      <c r="L249" s="7" t="s">
        <v>22</v>
      </c>
      <c r="M249" s="8">
        <v>44909</v>
      </c>
      <c r="N249" s="5">
        <f t="shared" si="14"/>
        <v>2099.9700000000003</v>
      </c>
      <c r="O249" s="7" t="str">
        <f>TEXT(Data!$B249,"mmm")</f>
        <v>Apr</v>
      </c>
      <c r="P249" s="9">
        <f>YEAR(Data!$B249)</f>
        <v>2025</v>
      </c>
      <c r="Q249" s="10">
        <f t="shared" ca="1" si="12"/>
        <v>46122.659248495373</v>
      </c>
      <c r="R249" s="20"/>
      <c r="S249" s="36" t="str">
        <f t="shared" si="15"/>
        <v>High Value</v>
      </c>
      <c r="T249" s="27"/>
      <c r="AH249" t="str">
        <f t="shared" si="13"/>
        <v>Dou</v>
      </c>
    </row>
    <row r="250" spans="1:34" ht="15" thickBot="1">
      <c r="A250" s="19" t="s">
        <v>397</v>
      </c>
      <c r="B250" s="4">
        <v>45758</v>
      </c>
      <c r="C250" s="3" t="s">
        <v>226</v>
      </c>
      <c r="D250" s="3" t="s">
        <v>227</v>
      </c>
      <c r="E250" s="3" t="s">
        <v>117</v>
      </c>
      <c r="F250" s="3" t="s">
        <v>118</v>
      </c>
      <c r="G250" s="3" t="s">
        <v>19</v>
      </c>
      <c r="H250" s="5">
        <v>2</v>
      </c>
      <c r="I250" s="5">
        <v>89.99</v>
      </c>
      <c r="J250" s="3" t="s">
        <v>57</v>
      </c>
      <c r="K250" s="3" t="s">
        <v>63</v>
      </c>
      <c r="L250" s="3" t="s">
        <v>22</v>
      </c>
      <c r="M250" s="4">
        <v>45088</v>
      </c>
      <c r="N250" s="5">
        <f t="shared" si="14"/>
        <v>179.98</v>
      </c>
      <c r="O250" s="3" t="str">
        <f>TEXT(Data!$B250,"mmm")</f>
        <v>Apr</v>
      </c>
      <c r="P250" s="11">
        <f>YEAR(Data!$B250)</f>
        <v>2025</v>
      </c>
      <c r="Q250" s="12">
        <f t="shared" ca="1" si="12"/>
        <v>46122.659248495373</v>
      </c>
      <c r="R250" s="21"/>
      <c r="S250" s="19" t="str">
        <f t="shared" si="15"/>
        <v>Normal</v>
      </c>
      <c r="T250" s="26"/>
      <c r="AH250" t="str">
        <f t="shared" si="13"/>
        <v>Law</v>
      </c>
    </row>
    <row r="251" spans="1:34" ht="15" thickBot="1">
      <c r="A251" s="23" t="s">
        <v>398</v>
      </c>
      <c r="B251" s="14">
        <v>45758</v>
      </c>
      <c r="C251" s="13" t="s">
        <v>138</v>
      </c>
      <c r="D251" s="13" t="s">
        <v>139</v>
      </c>
      <c r="E251" s="13" t="s">
        <v>117</v>
      </c>
      <c r="F251" s="13" t="s">
        <v>118</v>
      </c>
      <c r="G251" s="13" t="s">
        <v>19</v>
      </c>
      <c r="H251" s="1">
        <v>3</v>
      </c>
      <c r="I251" s="1">
        <v>89.99</v>
      </c>
      <c r="J251" s="13" t="s">
        <v>57</v>
      </c>
      <c r="K251" s="13" t="s">
        <v>40</v>
      </c>
      <c r="L251" s="13" t="s">
        <v>27</v>
      </c>
      <c r="M251" s="14">
        <v>44878</v>
      </c>
      <c r="N251" s="5">
        <f t="shared" si="14"/>
        <v>269.96999999999997</v>
      </c>
      <c r="O251" s="13" t="str">
        <f>TEXT(Data!$B251,"mmm")</f>
        <v>Apr</v>
      </c>
      <c r="P251" s="15">
        <f>YEAR(Data!$B251)</f>
        <v>2025</v>
      </c>
      <c r="Q251" s="16">
        <f t="shared" ca="1" si="12"/>
        <v>46122.659248495373</v>
      </c>
      <c r="R251" s="28"/>
      <c r="S251" s="37" t="str">
        <f t="shared" si="15"/>
        <v>Normal</v>
      </c>
      <c r="T251" s="29"/>
      <c r="AH251" t="str">
        <f t="shared" si="13"/>
        <v>Ste</v>
      </c>
    </row>
  </sheetData>
  <scenarios current="0" show="0">
    <scenario name="High sales" locked="1" count="1" user="Dell" comment="Created by Dell on 22-03-2026">
      <inputCells r="I9" val="100"/>
    </scenario>
  </scenarios>
  <mergeCells count="1">
    <mergeCell ref="T1:AG1"/>
  </mergeCells>
  <conditionalFormatting sqref="N2:N251">
    <cfRule type="iconSet" priority="1">
      <iconSet iconSet="3Arrows">
        <cfvo type="percent" val="0"/>
        <cfvo type="num" val="1000" gte="0"/>
        <cfvo type="num" val="1000"/>
      </iconSet>
    </cfRule>
    <cfRule type="iconSet" priority="2">
      <iconSet iconSet="3Arrows">
        <cfvo type="percent" val="0"/>
        <cfvo type="percent" val="33"/>
        <cfvo type="percent" val="67"/>
      </iconSet>
    </cfRule>
  </conditionalFormatting>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I18"/>
  <sheetViews>
    <sheetView workbookViewId="0">
      <selection activeCell="L13" sqref="L13"/>
    </sheetView>
  </sheetViews>
  <sheetFormatPr defaultRowHeight="14.25"/>
  <sheetData>
    <row r="1" spans="1:9" ht="14.45">
      <c r="A1" s="31" t="s">
        <v>428</v>
      </c>
      <c r="B1" s="31"/>
    </row>
    <row r="2" spans="1:9" ht="15" thickBot="1"/>
    <row r="3" spans="1:9" ht="14.45">
      <c r="A3" s="32" t="s">
        <v>429</v>
      </c>
      <c r="B3" s="32"/>
    </row>
    <row r="4" spans="1:9" ht="14.45">
      <c r="A4" s="30" t="s">
        <v>430</v>
      </c>
      <c r="B4" s="30">
        <v>0.69971716714340404</v>
      </c>
    </row>
    <row r="5" spans="1:9" ht="14.45">
      <c r="A5" s="30" t="s">
        <v>431</v>
      </c>
      <c r="B5" s="30">
        <v>0.48960411399519049</v>
      </c>
    </row>
    <row r="6" spans="1:9" ht="14.45">
      <c r="A6" s="30" t="s">
        <v>432</v>
      </c>
      <c r="B6" s="30">
        <v>0.48754606606775175</v>
      </c>
    </row>
    <row r="7" spans="1:9" ht="14.45">
      <c r="A7" s="30" t="s">
        <v>433</v>
      </c>
      <c r="B7" s="30">
        <v>1069.5999714297043</v>
      </c>
    </row>
    <row r="8" spans="1:9" ht="15" thickBot="1">
      <c r="A8" s="33" t="s">
        <v>434</v>
      </c>
      <c r="B8" s="33">
        <v>250</v>
      </c>
    </row>
    <row r="10" spans="1:9" ht="15" thickBot="1">
      <c r="A10" s="31" t="s">
        <v>435</v>
      </c>
    </row>
    <row r="11" spans="1:9" ht="14.45">
      <c r="A11" s="34"/>
      <c r="B11" s="34" t="s">
        <v>440</v>
      </c>
      <c r="C11" s="34" t="s">
        <v>441</v>
      </c>
      <c r="D11" s="34" t="s">
        <v>442</v>
      </c>
      <c r="E11" s="34" t="s">
        <v>443</v>
      </c>
      <c r="F11" s="34" t="s">
        <v>444</v>
      </c>
    </row>
    <row r="12" spans="1:9" ht="14.45">
      <c r="A12" s="30" t="s">
        <v>436</v>
      </c>
      <c r="B12" s="30">
        <v>1</v>
      </c>
      <c r="C12" s="30">
        <v>272165040.44288164</v>
      </c>
      <c r="D12" s="30">
        <v>272165040.44288164</v>
      </c>
      <c r="E12" s="30">
        <v>237.89733342337931</v>
      </c>
      <c r="F12" s="30">
        <v>4.3456000686537675E-38</v>
      </c>
    </row>
    <row r="13" spans="1:9" ht="14.45">
      <c r="A13" s="30" t="s">
        <v>437</v>
      </c>
      <c r="B13" s="30">
        <v>248</v>
      </c>
      <c r="C13" s="30">
        <v>283722936.52284127</v>
      </c>
      <c r="D13" s="30">
        <v>1144044.0988824244</v>
      </c>
      <c r="E13" s="30"/>
      <c r="F13" s="30"/>
    </row>
    <row r="14" spans="1:9" ht="15" thickBot="1">
      <c r="A14" s="33" t="s">
        <v>438</v>
      </c>
      <c r="B14" s="33">
        <v>249</v>
      </c>
      <c r="C14" s="33">
        <v>555887976.96572292</v>
      </c>
      <c r="D14" s="33"/>
      <c r="E14" s="33"/>
      <c r="F14" s="33"/>
    </row>
    <row r="15" spans="1:9" ht="15" thickBot="1"/>
    <row r="16" spans="1:9" ht="14.45">
      <c r="A16" s="34"/>
      <c r="B16" s="34" t="s">
        <v>445</v>
      </c>
      <c r="C16" s="34" t="s">
        <v>433</v>
      </c>
      <c r="D16" s="34" t="s">
        <v>446</v>
      </c>
      <c r="E16" s="34" t="s">
        <v>447</v>
      </c>
      <c r="F16" s="34" t="s">
        <v>448</v>
      </c>
      <c r="G16" s="34" t="s">
        <v>449</v>
      </c>
      <c r="H16" s="34" t="s">
        <v>450</v>
      </c>
      <c r="I16" s="34" t="s">
        <v>451</v>
      </c>
    </row>
    <row r="17" spans="1:9" ht="14.45">
      <c r="A17" s="30" t="s">
        <v>439</v>
      </c>
      <c r="B17" s="30">
        <v>-891.26946750837965</v>
      </c>
      <c r="C17" s="30">
        <v>139.26188799785675</v>
      </c>
      <c r="D17" s="30">
        <v>-6.3999524946990265</v>
      </c>
      <c r="E17" s="30">
        <v>7.7056687462118612E-10</v>
      </c>
      <c r="F17" s="30">
        <v>-1165.5562915869634</v>
      </c>
      <c r="G17" s="30">
        <v>-616.98264342979587</v>
      </c>
      <c r="H17" s="30">
        <v>-1165.5562915869634</v>
      </c>
      <c r="I17" s="30">
        <v>-616.98264342979587</v>
      </c>
    </row>
    <row r="18" spans="1:9" ht="15" thickBot="1">
      <c r="A18" s="33" t="s">
        <v>452</v>
      </c>
      <c r="B18" s="33">
        <v>609.58458340093796</v>
      </c>
      <c r="C18" s="33">
        <v>39.522024948384001</v>
      </c>
      <c r="D18" s="33">
        <v>15.423920818760148</v>
      </c>
      <c r="E18" s="33">
        <v>4.3456000686499223E-38</v>
      </c>
      <c r="F18" s="33">
        <v>531.74296528059745</v>
      </c>
      <c r="G18" s="33">
        <v>687.42620152127847</v>
      </c>
      <c r="H18" s="33">
        <v>531.74296528059745</v>
      </c>
      <c r="I18" s="33">
        <v>687.42620152127847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34"/>
  <sheetViews>
    <sheetView topLeftCell="A16" workbookViewId="0">
      <selection activeCell="B22" sqref="B22"/>
    </sheetView>
  </sheetViews>
  <sheetFormatPr defaultRowHeight="14.25"/>
  <cols>
    <col min="1" max="1" width="12.5" bestFit="1" customWidth="1"/>
    <col min="2" max="2" width="18.5" bestFit="1" customWidth="1"/>
  </cols>
  <sheetData>
    <row r="1" spans="1:2">
      <c r="A1" s="40" t="s">
        <v>416</v>
      </c>
      <c r="B1" s="40"/>
    </row>
    <row r="3" spans="1:2">
      <c r="A3" s="17" t="s">
        <v>408</v>
      </c>
      <c r="B3" t="s">
        <v>410</v>
      </c>
    </row>
    <row r="4" spans="1:2">
      <c r="A4" s="18" t="s">
        <v>21</v>
      </c>
      <c r="B4">
        <v>41288.340000000018</v>
      </c>
    </row>
    <row r="5" spans="1:2">
      <c r="A5" s="18" t="s">
        <v>63</v>
      </c>
      <c r="B5">
        <v>59288.389999999992</v>
      </c>
    </row>
    <row r="6" spans="1:2">
      <c r="A6" s="18" t="s">
        <v>40</v>
      </c>
      <c r="B6">
        <v>50808.310000000012</v>
      </c>
    </row>
    <row r="7" spans="1:2">
      <c r="A7" s="18" t="s">
        <v>35</v>
      </c>
      <c r="B7">
        <v>36398.750000000007</v>
      </c>
    </row>
    <row r="8" spans="1:2">
      <c r="A8" s="18" t="s">
        <v>50</v>
      </c>
      <c r="B8">
        <v>41408.680000000015</v>
      </c>
    </row>
    <row r="9" spans="1:2">
      <c r="A9" s="18" t="s">
        <v>409</v>
      </c>
      <c r="B9">
        <v>229192.47000000006</v>
      </c>
    </row>
    <row r="11" spans="1:2">
      <c r="A11" s="40" t="s">
        <v>417</v>
      </c>
      <c r="B11" s="40"/>
    </row>
    <row r="13" spans="1:2">
      <c r="A13" s="17" t="s">
        <v>408</v>
      </c>
      <c r="B13" t="s">
        <v>410</v>
      </c>
    </row>
    <row r="14" spans="1:2">
      <c r="A14" s="18" t="s">
        <v>33</v>
      </c>
      <c r="B14">
        <v>8338.7399999999961</v>
      </c>
    </row>
    <row r="15" spans="1:2">
      <c r="A15" s="18" t="s">
        <v>19</v>
      </c>
      <c r="B15">
        <v>171756.05000000013</v>
      </c>
    </row>
    <row r="16" spans="1:2">
      <c r="A16" s="18" t="s">
        <v>46</v>
      </c>
      <c r="B16">
        <v>49097.680000000015</v>
      </c>
    </row>
    <row r="17" spans="1:2">
      <c r="A17" s="18" t="s">
        <v>409</v>
      </c>
      <c r="B17">
        <v>229192.47000000015</v>
      </c>
    </row>
    <row r="19" spans="1:2">
      <c r="A19" s="40" t="s">
        <v>418</v>
      </c>
      <c r="B19" s="40"/>
    </row>
    <row r="21" spans="1:2">
      <c r="A21" s="17" t="s">
        <v>408</v>
      </c>
      <c r="B21" t="s">
        <v>410</v>
      </c>
    </row>
    <row r="22" spans="1:2">
      <c r="A22" s="18" t="s">
        <v>419</v>
      </c>
      <c r="B22">
        <v>25799.15</v>
      </c>
    </row>
    <row r="23" spans="1:2">
      <c r="A23" s="18" t="s">
        <v>420</v>
      </c>
      <c r="B23">
        <v>16069.379999999997</v>
      </c>
    </row>
    <row r="24" spans="1:2">
      <c r="A24" s="18" t="s">
        <v>412</v>
      </c>
      <c r="B24">
        <v>19899.379999999997</v>
      </c>
    </row>
    <row r="25" spans="1:2">
      <c r="A25" s="18" t="s">
        <v>411</v>
      </c>
      <c r="B25">
        <v>27899.160000000007</v>
      </c>
    </row>
    <row r="26" spans="1:2">
      <c r="A26" s="18" t="s">
        <v>414</v>
      </c>
      <c r="B26">
        <v>17039.349999999999</v>
      </c>
    </row>
    <row r="27" spans="1:2">
      <c r="A27" s="18" t="s">
        <v>421</v>
      </c>
      <c r="B27">
        <v>19299.45</v>
      </c>
    </row>
    <row r="28" spans="1:2">
      <c r="A28" s="18" t="s">
        <v>422</v>
      </c>
      <c r="B28">
        <v>18479.399999999994</v>
      </c>
    </row>
    <row r="29" spans="1:2">
      <c r="A29" s="18" t="s">
        <v>413</v>
      </c>
      <c r="B29">
        <v>15759.429999999997</v>
      </c>
    </row>
    <row r="30" spans="1:2">
      <c r="A30" s="18" t="s">
        <v>423</v>
      </c>
      <c r="B30">
        <v>12989.509999999997</v>
      </c>
    </row>
    <row r="31" spans="1:2">
      <c r="A31" s="18" t="s">
        <v>424</v>
      </c>
      <c r="B31">
        <v>20609.52</v>
      </c>
    </row>
    <row r="32" spans="1:2">
      <c r="A32" s="18" t="s">
        <v>425</v>
      </c>
      <c r="B32">
        <v>12309.439999999999</v>
      </c>
    </row>
    <row r="33" spans="1:2">
      <c r="A33" s="18" t="s">
        <v>426</v>
      </c>
      <c r="B33">
        <v>23039.3</v>
      </c>
    </row>
    <row r="34" spans="1:2">
      <c r="A34" s="18" t="s">
        <v>409</v>
      </c>
      <c r="B34">
        <v>229192.47</v>
      </c>
    </row>
  </sheetData>
  <mergeCells count="3">
    <mergeCell ref="A1:B1"/>
    <mergeCell ref="A11:B11"/>
    <mergeCell ref="A19:B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C1:T9"/>
  <sheetViews>
    <sheetView zoomScale="88" workbookViewId="0">
      <selection activeCell="V6" sqref="V6"/>
    </sheetView>
  </sheetViews>
  <sheetFormatPr defaultRowHeight="14.25"/>
  <sheetData>
    <row r="1" spans="3:20" ht="23.45">
      <c r="I1" s="43" t="s">
        <v>402</v>
      </c>
      <c r="J1" s="43"/>
      <c r="K1" s="43"/>
      <c r="L1" s="43"/>
      <c r="M1" s="43"/>
      <c r="N1" s="43"/>
      <c r="O1" s="43"/>
    </row>
    <row r="5" spans="3:20" ht="14.45">
      <c r="C5" s="41" t="s">
        <v>403</v>
      </c>
      <c r="D5" s="41"/>
      <c r="E5" s="41"/>
      <c r="H5" s="41" t="s">
        <v>404</v>
      </c>
      <c r="I5" s="41"/>
      <c r="J5" s="41"/>
      <c r="M5" s="41" t="s">
        <v>405</v>
      </c>
      <c r="N5" s="41"/>
      <c r="O5" s="41"/>
      <c r="R5" s="41" t="s">
        <v>406</v>
      </c>
      <c r="S5" s="41"/>
      <c r="T5" s="41"/>
    </row>
    <row r="6" spans="3:20">
      <c r="C6" s="42">
        <f>SUM(Data!N2:N253)</f>
        <v>246563.25002880159</v>
      </c>
      <c r="D6" s="42"/>
      <c r="E6" s="42"/>
      <c r="H6" s="42">
        <f>COUNTA(Data!$A$2:$A$251)</f>
        <v>250</v>
      </c>
      <c r="I6" s="42"/>
      <c r="J6" s="42"/>
      <c r="M6" s="42">
        <f>COUNTA(_xlfn.UNIQUE(Data!$C$2:$C$251))</f>
        <v>50</v>
      </c>
      <c r="N6" s="42"/>
      <c r="O6" s="42"/>
      <c r="R6" s="42" t="str">
        <f>INDEX(Data!$K$2:$K$251,MATCH(MAX(Data!$N$2:$N$251),Data!$N$2:$N$251,0))</f>
        <v>Central</v>
      </c>
      <c r="S6" s="42"/>
      <c r="T6" s="42"/>
    </row>
    <row r="7" spans="3:20">
      <c r="C7" s="42"/>
      <c r="D7" s="42"/>
      <c r="E7" s="42"/>
      <c r="H7" s="42"/>
      <c r="I7" s="42"/>
      <c r="J7" s="42"/>
      <c r="M7" s="42"/>
      <c r="N7" s="42"/>
      <c r="O7" s="42"/>
      <c r="R7" s="42"/>
      <c r="S7" s="42"/>
      <c r="T7" s="42"/>
    </row>
    <row r="8" spans="3:20">
      <c r="C8" s="42"/>
      <c r="D8" s="42"/>
      <c r="E8" s="42"/>
      <c r="H8" s="42"/>
      <c r="I8" s="42"/>
      <c r="J8" s="42"/>
      <c r="M8" s="42"/>
      <c r="N8" s="42"/>
      <c r="O8" s="42"/>
      <c r="R8" s="42"/>
      <c r="S8" s="42"/>
      <c r="T8" s="42"/>
    </row>
    <row r="9" spans="3:20">
      <c r="C9" s="42"/>
      <c r="D9" s="42"/>
      <c r="E9" s="42"/>
      <c r="H9" s="42"/>
      <c r="I9" s="42"/>
      <c r="J9" s="42"/>
      <c r="M9" s="42"/>
      <c r="N9" s="42"/>
      <c r="O9" s="42"/>
      <c r="R9" s="42"/>
      <c r="S9" s="42"/>
      <c r="T9" s="42"/>
    </row>
  </sheetData>
  <mergeCells count="9">
    <mergeCell ref="R5:T5"/>
    <mergeCell ref="R6:T9"/>
    <mergeCell ref="I1:O1"/>
    <mergeCell ref="C5:E5"/>
    <mergeCell ref="C6:E9"/>
    <mergeCell ref="H5:J5"/>
    <mergeCell ref="H6:J9"/>
    <mergeCell ref="M5:O5"/>
    <mergeCell ref="M6:O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E25"/>
  <sheetViews>
    <sheetView workbookViewId="0">
      <selection activeCell="H21" sqref="H21"/>
    </sheetView>
  </sheetViews>
  <sheetFormatPr defaultRowHeight="14.25"/>
  <cols>
    <col min="1" max="1" width="14.25" customWidth="1"/>
  </cols>
  <sheetData>
    <row r="1" spans="1:5" ht="14.45">
      <c r="A1" s="41" t="s">
        <v>454</v>
      </c>
      <c r="B1" s="41"/>
      <c r="C1" s="41"/>
    </row>
    <row r="3" spans="1:5" ht="14.45">
      <c r="A3" s="30" t="s">
        <v>455</v>
      </c>
      <c r="B3" s="30"/>
      <c r="C3" s="30"/>
      <c r="D3" s="30"/>
      <c r="E3" s="30"/>
    </row>
    <row r="4" spans="1:5" ht="14.45">
      <c r="A4" s="30" t="s">
        <v>456</v>
      </c>
      <c r="B4" s="30"/>
      <c r="C4" s="30"/>
      <c r="D4" s="30"/>
      <c r="E4" s="30"/>
    </row>
    <row r="5" spans="1:5">
      <c r="A5" s="30" t="s">
        <v>457</v>
      </c>
      <c r="B5" s="30"/>
      <c r="C5" s="30"/>
      <c r="D5" s="30"/>
      <c r="E5" s="30"/>
    </row>
    <row r="7" spans="1:5" ht="14.45">
      <c r="A7" s="41" t="s">
        <v>458</v>
      </c>
      <c r="B7" s="41"/>
      <c r="C7" s="41"/>
    </row>
    <row r="9" spans="1:5" ht="14.45">
      <c r="A9" s="30" t="s">
        <v>459</v>
      </c>
      <c r="B9" s="30"/>
      <c r="C9" s="30"/>
    </row>
    <row r="10" spans="1:5" ht="14.45">
      <c r="A10" s="30" t="s">
        <v>460</v>
      </c>
      <c r="B10" s="30"/>
      <c r="C10" s="30"/>
    </row>
    <row r="11" spans="1:5" ht="14.45">
      <c r="A11" s="30" t="s">
        <v>461</v>
      </c>
      <c r="B11" s="30"/>
      <c r="C11" s="30"/>
    </row>
    <row r="12" spans="1:5" ht="14.45">
      <c r="A12" s="30" t="s">
        <v>462</v>
      </c>
      <c r="B12" s="30"/>
      <c r="C12" s="30"/>
    </row>
    <row r="13" spans="1:5" ht="14.45">
      <c r="A13" s="30" t="s">
        <v>463</v>
      </c>
      <c r="B13" s="30"/>
      <c r="C13" s="30"/>
    </row>
    <row r="14" spans="1:5" ht="14.45">
      <c r="A14" s="30" t="s">
        <v>464</v>
      </c>
      <c r="B14" s="30"/>
      <c r="C14" s="30"/>
    </row>
    <row r="16" spans="1:5" ht="14.45">
      <c r="A16" s="41" t="s">
        <v>465</v>
      </c>
      <c r="B16" s="41"/>
      <c r="C16" s="41"/>
    </row>
    <row r="18" spans="1:3">
      <c r="A18" s="30" t="s">
        <v>466</v>
      </c>
      <c r="B18" s="30"/>
      <c r="C18" s="30"/>
    </row>
    <row r="19" spans="1:3">
      <c r="A19" s="30" t="s">
        <v>467</v>
      </c>
      <c r="B19" s="30"/>
      <c r="C19" s="30"/>
    </row>
    <row r="20" spans="1:3">
      <c r="A20" s="30" t="s">
        <v>468</v>
      </c>
      <c r="B20" s="30"/>
      <c r="C20" s="30"/>
    </row>
    <row r="21" spans="1:3" ht="14.45">
      <c r="A21" s="30"/>
      <c r="B21" s="30"/>
      <c r="C21" s="30"/>
    </row>
    <row r="22" spans="1:3" ht="14.45">
      <c r="A22" s="30" t="s">
        <v>403</v>
      </c>
      <c r="B22" s="30"/>
      <c r="C22" s="30"/>
    </row>
    <row r="23" spans="1:3" ht="14.45">
      <c r="A23" s="30" t="s">
        <v>469</v>
      </c>
      <c r="B23" s="30"/>
      <c r="C23" s="30"/>
    </row>
    <row r="24" spans="1:3" ht="14.45">
      <c r="A24" s="30" t="s">
        <v>470</v>
      </c>
      <c r="B24" s="30"/>
      <c r="C24" s="30"/>
    </row>
    <row r="25" spans="1:3" ht="14.45">
      <c r="A25" s="30" t="s">
        <v>471</v>
      </c>
      <c r="B25" s="30"/>
      <c r="C25" s="30"/>
    </row>
  </sheetData>
  <mergeCells count="3">
    <mergeCell ref="A1:C1"/>
    <mergeCell ref="A7:C7"/>
    <mergeCell ref="A16:C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13"/>
  <sheetViews>
    <sheetView tabSelected="1" topLeftCell="A3" workbookViewId="0">
      <selection activeCell="F30" sqref="F30"/>
    </sheetView>
  </sheetViews>
  <sheetFormatPr defaultRowHeight="14.25"/>
  <sheetData>
    <row r="1" spans="1:5">
      <c r="A1" s="31" t="s">
        <v>472</v>
      </c>
      <c r="B1" s="31"/>
    </row>
    <row r="3" spans="1:5">
      <c r="A3" s="30" t="s">
        <v>473</v>
      </c>
      <c r="B3" s="30"/>
      <c r="C3" s="30"/>
      <c r="D3" s="30"/>
      <c r="E3" s="30"/>
    </row>
    <row r="4" spans="1:5">
      <c r="A4" s="30" t="s">
        <v>474</v>
      </c>
      <c r="B4" s="30"/>
      <c r="C4" s="30"/>
      <c r="D4" s="30"/>
      <c r="E4" s="30"/>
    </row>
    <row r="6" spans="1:5">
      <c r="A6" s="31" t="s">
        <v>475</v>
      </c>
      <c r="B6" s="31"/>
    </row>
    <row r="8" spans="1:5">
      <c r="A8" s="30" t="s">
        <v>476</v>
      </c>
      <c r="B8" s="30"/>
      <c r="C8" s="30"/>
      <c r="D8" s="30"/>
      <c r="E8" s="30"/>
    </row>
    <row r="9" spans="1:5">
      <c r="A9" s="30" t="s">
        <v>477</v>
      </c>
      <c r="B9" s="30"/>
      <c r="C9" s="30"/>
      <c r="D9" s="30"/>
      <c r="E9" s="30"/>
    </row>
    <row r="11" spans="1:5">
      <c r="A11" s="31" t="s">
        <v>478</v>
      </c>
      <c r="B11" s="31"/>
    </row>
    <row r="13" spans="1:5">
      <c r="A13" s="30" t="s">
        <v>479</v>
      </c>
      <c r="B13" s="30"/>
      <c r="C13" s="30"/>
      <c r="D13"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 Regression</vt:lpstr>
      <vt:lpstr>Pivot Tables</vt:lpstr>
      <vt:lpstr>Dashbord</vt:lpstr>
      <vt:lpstr>Documentation</vt:lpstr>
      <vt:lpstr>Insights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Darshil Kotadiya</dc:creator>
  <cp:lastModifiedBy>Admin</cp:lastModifiedBy>
  <dcterms:created xsi:type="dcterms:W3CDTF">2026-03-22T05:48:11Z</dcterms:created>
  <dcterms:modified xsi:type="dcterms:W3CDTF">2026-04-10T10:19:19Z</dcterms:modified>
</cp:coreProperties>
</file>